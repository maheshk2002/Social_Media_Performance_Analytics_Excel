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mahes\Desktop\ExcelProject\"/>
    </mc:Choice>
  </mc:AlternateContent>
  <xr:revisionPtr revIDLastSave="0" documentId="8_{CA798668-949E-4554-A6AF-2FBB0E7360F7}" xr6:coauthVersionLast="47" xr6:coauthVersionMax="47" xr10:uidLastSave="{00000000-0000-0000-0000-000000000000}"/>
  <bookViews>
    <workbookView xWindow="-108" yWindow="-108" windowWidth="23256" windowHeight="13176" xr2:uid="{00000000-000D-0000-FFFF-FFFF00000000}"/>
  </bookViews>
  <sheets>
    <sheet name="Task 1 &amp; 2 " sheetId="4" r:id="rId1"/>
    <sheet name="Task 3" sheetId="5" r:id="rId2"/>
    <sheet name="Task 4" sheetId="9" r:id="rId3"/>
    <sheet name="Task 5" sheetId="12" r:id="rId4"/>
    <sheet name="Task 6" sheetId="14" r:id="rId5"/>
    <sheet name="ExplainationLink" sheetId="15" r:id="rId6"/>
    <sheet name="Posts" sheetId="1" r:id="rId7"/>
    <sheet name="Engagement Summary" sheetId="2" r:id="rId8"/>
    <sheet name="Campaign Metadata" sheetId="3" r:id="rId9"/>
  </sheets>
  <definedNames>
    <definedName name="_xlnm._FilterDatabase" localSheetId="6" hidden="1">Posts!$A$1:$Z$301</definedName>
    <definedName name="ExternalData_1" localSheetId="6" hidden="1">Posts!$T$1:$U$338</definedName>
    <definedName name="ExternalData_1" localSheetId="3" hidden="1">'Task 5'!$A$12:$C$20</definedName>
    <definedName name="ExternalData_2" localSheetId="6" hidden="1">Posts!$X$2:$Z$339</definedName>
    <definedName name="Slicer_Months__Week_Start_Date">#N/A</definedName>
    <definedName name="Slicer_Months__Week_Start_Date1">#N/A</definedName>
  </definedNames>
  <calcPr calcId="191029"/>
  <pivotCaches>
    <pivotCache cacheId="15" r:id="rId10"/>
    <pivotCache cacheId="111" r:id="rId11"/>
    <pivotCache cacheId="140" r:id="rId12"/>
    <pivotCache cacheId="102" r:id="rId13"/>
    <pivotCache cacheId="126" r:id="rId14"/>
    <pivotCache cacheId="144" r:id="rId15"/>
    <pivotCache cacheId="18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bhSlxfWvTgv8XKEk2OsP6o8jWik31LnAbkDVGdJdyIg="/>
    </ext>
  </extLst>
</workbook>
</file>

<file path=xl/calcChain.xml><?xml version="1.0" encoding="utf-8"?>
<calcChain xmlns="http://schemas.openxmlformats.org/spreadsheetml/2006/main">
  <c r="A101" i="14" l="1"/>
  <c r="D37" i="12"/>
  <c r="D38" i="12"/>
  <c r="D39" i="12"/>
  <c r="D36" i="12"/>
  <c r="C27" i="12"/>
  <c r="D27" i="12" s="1"/>
  <c r="C28" i="12"/>
  <c r="D28" i="12" s="1"/>
  <c r="C29" i="12"/>
  <c r="D29" i="12" s="1"/>
  <c r="C26" i="12"/>
  <c r="D26" i="12" s="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V4" i="1"/>
  <c r="V2" i="1"/>
  <c r="V3"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1EB492-8EC5-42F6-B025-A716DF7BDEA2}" keepAlive="1" name="Query - Campaign Metadata" description="Connection to the 'Campaign Metadata' query in the workbook." type="5" refreshedVersion="0" background="1">
    <dbPr connection="Provider=Microsoft.Mashup.OleDb.1;Data Source=$Workbook$;Location=&quot;Campaign Metadata&quot;;Extended Properties=&quot;&quot;" command="SELECT * FROM [Campaign Metadata]"/>
  </connection>
  <connection id="2" xr16:uid="{B9045C18-B34E-4208-AA60-6725E71F7A3C}" keepAlive="1" name="Query - Engagement Summary" description="Connection to the 'Engagement Summary' query in the workbook." type="5" refreshedVersion="0" background="1">
    <dbPr connection="Provider=Microsoft.Mashup.OleDb.1;Data Source=$Workbook$;Location=&quot;Engagement Summary&quot;;Extended Properties=&quot;&quot;" command="SELECT * FROM [Engagement Summary]"/>
  </connection>
  <connection id="3" xr16:uid="{421D0E26-B270-480B-B201-7196D1AD132C}"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4" xr16:uid="{D512EB57-931A-477A-9887-D2FC40E16B39}" keepAlive="1" name="Query - Posts" description="Connection to the 'Posts' query in the workbook." type="5" refreshedVersion="0" background="1">
    <dbPr connection="Provider=Microsoft.Mashup.OleDb.1;Data Source=$Workbook$;Location=Posts;Extended Properties=&quot;&quot;" command="SELECT * FROM [Posts]"/>
  </connection>
  <connection id="5" xr16:uid="{970FA57B-7F2A-4EAA-9E76-F61BE0E84400}"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6" xr16:uid="{D5E0C3E9-6156-4A5E-A81B-40DFADCE0FB1}" keepAlive="1" name="Query - Table2 (2)" description="Connection to the 'Table2 (2)' query in the workbook." type="5" refreshedVersion="8" background="1">
    <dbPr connection="Provider=Microsoft.Mashup.OleDb.1;Data Source=$Workbook$;Location=&quot;Table2 (2)&quot;;Extended Properties=&quot;&quot;" command="SELECT * FROM [Table2 (2)]"/>
  </connection>
  <connection id="7" xr16:uid="{A730F51E-A9BA-4DC0-861B-36233E6F86E2}" keepAlive="1" name="Query - Table2 (3)" description="Connection to the 'Table2 (3)' query in the workbook." type="5" refreshedVersion="8" background="1" saveData="1">
    <dbPr connection="Provider=Microsoft.Mashup.OleDb.1;Data Source=$Workbook$;Location=&quot;Table2 (3)&quot;;Extended Properties=&quot;&quot;" command="SELECT * FROM [Table2 (3)]"/>
  </connection>
</connections>
</file>

<file path=xl/sharedStrings.xml><?xml version="1.0" encoding="utf-8"?>
<sst xmlns="http://schemas.openxmlformats.org/spreadsheetml/2006/main" count="3601" uniqueCount="689">
  <si>
    <t>Post ID</t>
  </si>
  <si>
    <t>Platform</t>
  </si>
  <si>
    <t>Date</t>
  </si>
  <si>
    <t>Content Type</t>
  </si>
  <si>
    <t>Post Text</t>
  </si>
  <si>
    <t>Likes</t>
  </si>
  <si>
    <t>Shares</t>
  </si>
  <si>
    <t>Comments</t>
  </si>
  <si>
    <t>Impressions</t>
  </si>
  <si>
    <t>Reach</t>
  </si>
  <si>
    <t>Clicks</t>
  </si>
  <si>
    <t>Hashtags Used</t>
  </si>
  <si>
    <t>Campaign_Name</t>
  </si>
  <si>
    <t>P001</t>
  </si>
  <si>
    <t>Twitter</t>
  </si>
  <si>
    <t>2024-12-23</t>
  </si>
  <si>
    <t>Reel</t>
  </si>
  <si>
    <t>Check out our latest reel on twitter!</t>
  </si>
  <si>
    <t>#LiveForNow,#AnytimeIsPepsiTime</t>
  </si>
  <si>
    <t>SummerSplash</t>
  </si>
  <si>
    <t>P002</t>
  </si>
  <si>
    <t>2025-04-03</t>
  </si>
  <si>
    <t>Text</t>
  </si>
  <si>
    <t>Check out our latest text on twitter!</t>
  </si>
  <si>
    <t>#PepsiCoRefresh,#BetterWithPepsi</t>
  </si>
  <si>
    <t>FestiveRadiance</t>
  </si>
  <si>
    <t>P003</t>
  </si>
  <si>
    <t>YouTube</t>
  </si>
  <si>
    <t>2025-05-12</t>
  </si>
  <si>
    <t>Check out our latest reel on youtube!</t>
  </si>
  <si>
    <t>#PepsiCoRefresh</t>
  </si>
  <si>
    <t>NewYearRefresh</t>
  </si>
  <si>
    <t>P004</t>
  </si>
  <si>
    <t>Instagram</t>
  </si>
  <si>
    <t>2024-08-12</t>
  </si>
  <si>
    <t>Story</t>
  </si>
  <si>
    <t>Check out our latest story on instagram!</t>
  </si>
  <si>
    <t>#ThirstyForMore</t>
  </si>
  <si>
    <t>DailyWellness</t>
  </si>
  <si>
    <t>P005</t>
  </si>
  <si>
    <t>2024-06-26</t>
  </si>
  <si>
    <t>#ThirstyForMore,#PepsiCoRefresh</t>
  </si>
  <si>
    <t>P006</t>
  </si>
  <si>
    <t>Facebook</t>
  </si>
  <si>
    <t>2024-10-31</t>
  </si>
  <si>
    <t>Carousel</t>
  </si>
  <si>
    <t>Check out our latest carousel on facebook!</t>
  </si>
  <si>
    <t>P007</t>
  </si>
  <si>
    <t>2024-06-24</t>
  </si>
  <si>
    <t>Check out our latest carousel on twitter!</t>
  </si>
  <si>
    <t>P008</t>
  </si>
  <si>
    <t>2024-07-13</t>
  </si>
  <si>
    <t>Image</t>
  </si>
  <si>
    <t>Check out our latest image on youtube!</t>
  </si>
  <si>
    <t>P009</t>
  </si>
  <si>
    <t>2024-08-30</t>
  </si>
  <si>
    <t>Check out our latest text on facebook!</t>
  </si>
  <si>
    <t>P010</t>
  </si>
  <si>
    <t>2025-03-11</t>
  </si>
  <si>
    <t>Check out our latest image on facebook!</t>
  </si>
  <si>
    <t>P011</t>
  </si>
  <si>
    <t>2025-02-02</t>
  </si>
  <si>
    <t>#LiveForNow</t>
  </si>
  <si>
    <t>P012</t>
  </si>
  <si>
    <t>2024-07-21</t>
  </si>
  <si>
    <t>Check out our latest reel on facebook!</t>
  </si>
  <si>
    <t>P013</t>
  </si>
  <si>
    <t>2024-11-18</t>
  </si>
  <si>
    <t>Check out our latest carousel on youtube!</t>
  </si>
  <si>
    <t>P014</t>
  </si>
  <si>
    <t>2025-02-16</t>
  </si>
  <si>
    <t>Check out our latest story on facebook!</t>
  </si>
  <si>
    <t>P015</t>
  </si>
  <si>
    <t>2024-10-24</t>
  </si>
  <si>
    <t>Video</t>
  </si>
  <si>
    <t>Check out our latest video on facebook!</t>
  </si>
  <si>
    <t>P016</t>
  </si>
  <si>
    <t>2024-08-26</t>
  </si>
  <si>
    <t>P017</t>
  </si>
  <si>
    <t>2025-05-05</t>
  </si>
  <si>
    <t>P018</t>
  </si>
  <si>
    <t>2024-08-19</t>
  </si>
  <si>
    <t>Check out our latest reel on instagram!</t>
  </si>
  <si>
    <t>P019</t>
  </si>
  <si>
    <t>2024-06-23</t>
  </si>
  <si>
    <t>Check out our latest video on instagram!</t>
  </si>
  <si>
    <t>P020</t>
  </si>
  <si>
    <t>2024-09-09</t>
  </si>
  <si>
    <t>Check out our latest carousel on instagram!</t>
  </si>
  <si>
    <t>P021</t>
  </si>
  <si>
    <t>2025-01-04</t>
  </si>
  <si>
    <t>P022</t>
  </si>
  <si>
    <t>2025-02-27</t>
  </si>
  <si>
    <t>P023</t>
  </si>
  <si>
    <t>2024-11-06</t>
  </si>
  <si>
    <t>#PepsiCoRefresh,#AnytimeIsPepsiTime</t>
  </si>
  <si>
    <t>P024</t>
  </si>
  <si>
    <t>2025-01-23</t>
  </si>
  <si>
    <t>P025</t>
  </si>
  <si>
    <t>2025-04-10</t>
  </si>
  <si>
    <t>P026</t>
  </si>
  <si>
    <t>2025-04-05</t>
  </si>
  <si>
    <t>P027</t>
  </si>
  <si>
    <t>2024-09-17</t>
  </si>
  <si>
    <t>Check out our latest text on youtube!</t>
  </si>
  <si>
    <t>P028</t>
  </si>
  <si>
    <t>2025-03-04</t>
  </si>
  <si>
    <t>P029</t>
  </si>
  <si>
    <t>2025-01-31</t>
  </si>
  <si>
    <t>P030</t>
  </si>
  <si>
    <t>2025-02-25</t>
  </si>
  <si>
    <t>P031</t>
  </si>
  <si>
    <t>2024-12-16</t>
  </si>
  <si>
    <t>Check out our latest text on instagram!</t>
  </si>
  <si>
    <t>P032</t>
  </si>
  <si>
    <t>2024-07-31</t>
  </si>
  <si>
    <t>P033</t>
  </si>
  <si>
    <t>2024-08-21</t>
  </si>
  <si>
    <t>P034</t>
  </si>
  <si>
    <t>2025-03-26</t>
  </si>
  <si>
    <t>P035</t>
  </si>
  <si>
    <t>2024-11-30</t>
  </si>
  <si>
    <t>P036</t>
  </si>
  <si>
    <t>2025-04-19</t>
  </si>
  <si>
    <t>P037</t>
  </si>
  <si>
    <t>2025-01-06</t>
  </si>
  <si>
    <t>P038</t>
  </si>
  <si>
    <t>2025-02-17</t>
  </si>
  <si>
    <t>P039</t>
  </si>
  <si>
    <t>2024-11-25</t>
  </si>
  <si>
    <t>P040</t>
  </si>
  <si>
    <t>2025-03-07</t>
  </si>
  <si>
    <t>Check out our latest image on twitter!</t>
  </si>
  <si>
    <t>P041</t>
  </si>
  <si>
    <t>2025-03-08</t>
  </si>
  <si>
    <t>P042</t>
  </si>
  <si>
    <t>2025-03-05</t>
  </si>
  <si>
    <t>P043</t>
  </si>
  <si>
    <t>2024-12-14</t>
  </si>
  <si>
    <t>P044</t>
  </si>
  <si>
    <t>2025-03-02</t>
  </si>
  <si>
    <t>P045</t>
  </si>
  <si>
    <t>2024-11-01</t>
  </si>
  <si>
    <t>P046</t>
  </si>
  <si>
    <t>2025-05-02</t>
  </si>
  <si>
    <t>Check out our latest video on twitter!</t>
  </si>
  <si>
    <t>P047</t>
  </si>
  <si>
    <t>2025-02-24</t>
  </si>
  <si>
    <t>P048</t>
  </si>
  <si>
    <t>Check out our latest story on twitter!</t>
  </si>
  <si>
    <t>P049</t>
  </si>
  <si>
    <t>2024-06-10</t>
  </si>
  <si>
    <t>P050</t>
  </si>
  <si>
    <t>2024-07-03</t>
  </si>
  <si>
    <t>Check out our latest story on youtube!</t>
  </si>
  <si>
    <t>P051</t>
  </si>
  <si>
    <t>2024-06-13</t>
  </si>
  <si>
    <t>P052</t>
  </si>
  <si>
    <t>2025-01-03</t>
  </si>
  <si>
    <t>P053</t>
  </si>
  <si>
    <t>#ThirstyForMore,#BetterWithPepsi</t>
  </si>
  <si>
    <t>P054</t>
  </si>
  <si>
    <t>2025-03-13</t>
  </si>
  <si>
    <t>P055</t>
  </si>
  <si>
    <t>2024-06-17</t>
  </si>
  <si>
    <t>P056</t>
  </si>
  <si>
    <t>2024-12-18</t>
  </si>
  <si>
    <t>P057</t>
  </si>
  <si>
    <t>2024-10-21</t>
  </si>
  <si>
    <t>P058</t>
  </si>
  <si>
    <t>2025-04-15</t>
  </si>
  <si>
    <t>P059</t>
  </si>
  <si>
    <t>2024-06-22</t>
  </si>
  <si>
    <t>P060</t>
  </si>
  <si>
    <t>2025-01-28</t>
  </si>
  <si>
    <t>#ThirstyForMore,#PepsiCoRefresh,#AnytimeIsPepsiTime</t>
  </si>
  <si>
    <t>P061</t>
  </si>
  <si>
    <t>2024-09-05</t>
  </si>
  <si>
    <t>P062</t>
  </si>
  <si>
    <t>2024-11-22</t>
  </si>
  <si>
    <t>P063</t>
  </si>
  <si>
    <t>P064</t>
  </si>
  <si>
    <t>2024-08-17</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</si>
  <si>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</si>
  <si>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</si>
  <si>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</si>
  <si>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</si>
  <si>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</si>
  <si>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</si>
  <si>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</si>
  <si>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</si>
  <si>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</si>
  <si>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</si>
  <si>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</si>
  <si>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</si>
  <si>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</si>
  <si>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</si>
  <si>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</si>
  <si>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</si>
  <si>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</si>
  <si>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</si>
  <si>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</si>
  <si>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</si>
  <si>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</si>
  <si>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</si>
  <si>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</si>
  <si>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</si>
  <si>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</si>
  <si>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</si>
  <si>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</si>
  <si>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</si>
  <si>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</si>
  <si>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</si>
  <si>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P082</t>
  </si>
  <si>
    <t>2024-07-24</t>
  </si>
  <si>
    <t>Check out our latest image on instagram!</t>
  </si>
  <si>
    <t>#LiveForNow,#PepsiCoRefresh,#AnytimeIsPepsiTime</t>
  </si>
  <si>
    <t>P083</t>
  </si>
  <si>
    <t>2024-10-15</t>
  </si>
  <si>
    <t>Check out our latest video on youtube!</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</si>
  <si>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</si>
  <si>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</si>
  <si>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</si>
  <si>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</si>
  <si>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</si>
  <si>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</si>
  <si>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</si>
  <si>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</si>
  <si>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</si>
  <si>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</si>
  <si>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</si>
  <si>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</si>
  <si>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</si>
  <si>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</si>
  <si>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</si>
  <si>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</si>
  <si>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</si>
  <si>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</si>
  <si>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</si>
  <si>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</si>
  <si>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</si>
  <si>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</si>
  <si>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</si>
  <si>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</si>
  <si>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</si>
  <si>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</si>
  <si>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</si>
  <si>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</si>
  <si>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</si>
  <si>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</si>
  <si>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</si>
  <si>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</si>
  <si>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</si>
  <si>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</si>
  <si>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</si>
  <si>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</si>
  <si>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</si>
  <si>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</si>
  <si>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</si>
  <si>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</si>
  <si>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</si>
  <si>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</si>
  <si>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</si>
  <si>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</si>
  <si>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</si>
  <si>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</si>
  <si>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</si>
  <si>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</si>
  <si>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</si>
  <si>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</si>
  <si>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</si>
  <si>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</si>
  <si>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</si>
  <si>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</si>
  <si>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</si>
  <si>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</si>
  <si>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</si>
  <si>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</si>
  <si>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</si>
  <si>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</si>
  <si>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</si>
  <si>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</si>
  <si>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</si>
  <si>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</si>
  <si>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</si>
  <si>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</si>
  <si>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</si>
  <si>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</si>
  <si>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P123</t>
  </si>
  <si>
    <t>P124</t>
  </si>
  <si>
    <t>2025-04-06</t>
  </si>
  <si>
    <t>P125</t>
  </si>
  <si>
    <t>2024-09-08</t>
  </si>
  <si>
    <t>P126</t>
  </si>
  <si>
    <t>P127</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</si>
  <si>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</si>
  <si>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</si>
  <si>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</si>
  <si>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</si>
  <si>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</si>
  <si>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</si>
  <si>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</si>
  <si>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</si>
  <si>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</si>
  <si>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</si>
  <si>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</si>
  <si>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</si>
  <si>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</si>
  <si>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</si>
  <si>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</si>
  <si>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</si>
  <si>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</si>
  <si>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</si>
  <si>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</si>
  <si>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#ThirstyForMore,#SmoothLikeNitroPepsi</t>
  </si>
  <si>
    <t>P141</t>
  </si>
  <si>
    <t>2024-08-31</t>
  </si>
  <si>
    <t>P142</t>
  </si>
  <si>
    <t>P143</t>
  </si>
  <si>
    <t>P144</t>
  </si>
  <si>
    <t>P145</t>
  </si>
  <si>
    <t>P146</t>
  </si>
  <si>
    <t>2024-06-05</t>
  </si>
  <si>
    <t>#ThirstyForMore,#AnytimeIsPepsiTime</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</si>
  <si>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</si>
  <si>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</si>
  <si>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</si>
  <si>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</si>
  <si>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</si>
  <si>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</si>
  <si>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</si>
  <si>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</si>
  <si>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</si>
  <si>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</si>
  <si>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</si>
  <si>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</si>
  <si>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</si>
  <si>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</si>
  <si>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</si>
  <si>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</si>
  <si>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</si>
  <si>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</si>
  <si>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</si>
  <si>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</si>
  <si>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</si>
  <si>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</si>
  <si>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</si>
  <si>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</si>
  <si>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</si>
  <si>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</si>
  <si>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</si>
  <si>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</si>
  <si>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</si>
  <si>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</si>
  <si>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</si>
  <si>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</si>
  <si>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</si>
  <si>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</si>
  <si>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</si>
  <si>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</si>
  <si>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</si>
  <si>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</si>
  <si>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</si>
  <si>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</si>
  <si>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</si>
  <si>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</si>
  <si>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</si>
  <si>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</si>
  <si>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</si>
  <si>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</si>
  <si>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</si>
  <si>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</si>
  <si>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</si>
  <si>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</si>
  <si>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</si>
  <si>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</si>
  <si>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</si>
  <si>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</si>
  <si>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</si>
  <si>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</si>
  <si>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</si>
  <si>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</si>
  <si>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</si>
  <si>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</si>
  <si>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</si>
  <si>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</si>
  <si>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</si>
  <si>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</si>
  <si>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</si>
  <si>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</si>
  <si>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</si>
  <si>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</si>
  <si>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</si>
  <si>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</si>
  <si>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</si>
  <si>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</si>
  <si>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</si>
  <si>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</si>
  <si>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</si>
  <si>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</si>
  <si>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</si>
  <si>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</si>
  <si>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</si>
  <si>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</si>
  <si>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</si>
  <si>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</si>
  <si>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</si>
  <si>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</si>
  <si>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</si>
  <si>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</si>
  <si>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</si>
  <si>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</si>
  <si>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</si>
  <si>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</si>
  <si>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</si>
  <si>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</si>
  <si>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</si>
  <si>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</si>
  <si>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</si>
  <si>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#PepsiCoRefresh,#SmoothLikeNitroPepsi</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</si>
  <si>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</si>
  <si>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</si>
  <si>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</si>
  <si>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</si>
  <si>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</si>
  <si>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</si>
  <si>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</si>
  <si>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</si>
  <si>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</si>
  <si>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</si>
  <si>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</si>
  <si>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</si>
  <si>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</si>
  <si>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</si>
  <si>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</si>
  <si>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</si>
  <si>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</si>
  <si>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</si>
  <si>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</si>
  <si>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</si>
  <si>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</si>
  <si>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</si>
  <si>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</si>
  <si>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#LiveForNow,#SmoothLikeNitroPepsi</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</si>
  <si>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</si>
  <si>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</si>
  <si>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</si>
  <si>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</si>
  <si>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</si>
  <si>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</si>
  <si>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</si>
  <si>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</si>
  <si>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</si>
  <si>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</si>
  <si>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</si>
  <si>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</si>
  <si>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</si>
  <si>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</si>
  <si>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</si>
  <si>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</si>
  <si>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</si>
  <si>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</si>
  <si>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</si>
  <si>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</si>
  <si>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#LiveForNow,#AnytimeIsPepsiTime,#ThirstyForMore</t>
  </si>
  <si>
    <t>P237</t>
  </si>
  <si>
    <t>P238</t>
  </si>
  <si>
    <t>2024-07-16</t>
  </si>
  <si>
    <t>P239</t>
  </si>
  <si>
    <t>P240</t>
  </si>
  <si>
    <t>P241</t>
  </si>
  <si>
    <t>2025-01-18</t>
  </si>
  <si>
    <t>P242</t>
  </si>
  <si>
    <t>P243</t>
  </si>
  <si>
    <t>2025-03-06</t>
  </si>
  <si>
    <t>P244</t>
  </si>
  <si>
    <t>2024-10-25</t>
  </si>
  <si>
    <t>P245</t>
  </si>
  <si>
    <t>2025-01-12</t>
  </si>
  <si>
    <t>P246</t>
  </si>
  <si>
    <t>2024-10-11</t>
  </si>
  <si>
    <t>P247</t>
  </si>
  <si>
    <t>2024-08-27</t>
  </si>
  <si>
    <t>#LiveForNow,#ThirstyForMore,#BetterWithPepsi</t>
  </si>
  <si>
    <t>P248</t>
  </si>
  <si>
    <t>P249</t>
  </si>
  <si>
    <t>P250</t>
  </si>
  <si>
    <t>P251</t>
  </si>
  <si>
    <t>2025-03-27</t>
  </si>
  <si>
    <t>P252</t>
  </si>
  <si>
    <t>P253</t>
  </si>
  <si>
    <t>2024-08-03</t>
  </si>
  <si>
    <t>P254</t>
  </si>
  <si>
    <t>2025-01-14</t>
  </si>
  <si>
    <t>P255</t>
  </si>
  <si>
    <t>P256</t>
  </si>
  <si>
    <t>P257</t>
  </si>
  <si>
    <t>#ThirstyForMore,#ThirstyForMore,#BetterWithPepsi</t>
  </si>
  <si>
    <t>P258</t>
  </si>
  <si>
    <t>2024-08-05</t>
  </si>
  <si>
    <t>P259</t>
  </si>
  <si>
    <t>P260</t>
  </si>
  <si>
    <t>2025-02-12</t>
  </si>
  <si>
    <t>#PepsiCoRefresh,#ThirstyForMore,#BetterWithPepsi</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</si>
  <si>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</si>
  <si>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</si>
  <si>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</si>
  <si>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</si>
  <si>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</si>
  <si>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</si>
  <si>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</si>
  <si>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</si>
  <si>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</si>
  <si>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</si>
  <si>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</si>
  <si>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</si>
  <si>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</si>
  <si>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</si>
  <si>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</si>
  <si>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</si>
  <si>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</si>
  <si>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</si>
  <si>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</si>
  <si>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</si>
  <si>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</si>
  <si>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</si>
  <si>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</si>
  <si>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</si>
  <si>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</si>
  <si>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</si>
  <si>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</si>
  <si>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</si>
  <si>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</si>
  <si>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</si>
  <si>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</si>
  <si>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</si>
  <si>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</si>
  <si>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</si>
  <si>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</si>
  <si>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</si>
  <si>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</si>
  <si>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</si>
  <si>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</si>
  <si>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</si>
  <si>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</si>
  <si>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</si>
  <si>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</si>
  <si>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</si>
  <si>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</si>
  <si>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</si>
  <si>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</si>
  <si>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</si>
  <si>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</si>
  <si>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</si>
  <si>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</si>
  <si>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</si>
  <si>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</si>
  <si>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</si>
  <si>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</si>
  <si>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</si>
  <si>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</si>
  <si>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</si>
  <si>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</si>
  <si>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</si>
  <si>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</si>
  <si>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</si>
  <si>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</si>
  <si>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</si>
  <si>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</si>
  <si>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</si>
  <si>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</si>
  <si>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2025-03-31</t>
  </si>
  <si>
    <t>Start_Date</t>
  </si>
  <si>
    <t>End_Date</t>
  </si>
  <si>
    <t>Objective</t>
  </si>
  <si>
    <t>Total_Budget</t>
  </si>
  <si>
    <t>Target_Platforms</t>
  </si>
  <si>
    <t>Primary_Hashtags</t>
  </si>
  <si>
    <t>2024-06-15</t>
  </si>
  <si>
    <t>Brand Awareness</t>
  </si>
  <si>
    <t>Instagram,Facebook</t>
  </si>
  <si>
    <t>2024-10-01</t>
  </si>
  <si>
    <t>Engagement</t>
  </si>
  <si>
    <t>Instagram,YouTube</t>
  </si>
  <si>
    <t>#AnytimeIsPepsiTime,</t>
  </si>
  <si>
    <t>2024-12-25</t>
  </si>
  <si>
    <t>Product Launch</t>
  </si>
  <si>
    <t>Facebook,Twitter</t>
  </si>
  <si>
    <t>#SmoothLikeNitroPepsi</t>
  </si>
  <si>
    <t>2025-03-01</t>
  </si>
  <si>
    <t>Traffic</t>
  </si>
  <si>
    <t>Instagram,Twitter</t>
  </si>
  <si>
    <t>#BetterWithPepsi,#LiveForNow</t>
  </si>
  <si>
    <t>#AnytimeIsPepsiTime</t>
  </si>
  <si>
    <t>#BetterWithPepsi</t>
  </si>
  <si>
    <t>Hashtag 2</t>
  </si>
  <si>
    <t>Hashtag 3</t>
  </si>
  <si>
    <t>Hashtags 1</t>
  </si>
  <si>
    <t>Engagement Rate</t>
  </si>
  <si>
    <t>Row Labels</t>
  </si>
  <si>
    <t>Grand Total</t>
  </si>
  <si>
    <t>Average of Engagement Rate</t>
  </si>
  <si>
    <t>Column Labels</t>
  </si>
  <si>
    <t>(All)</t>
  </si>
  <si>
    <t>Top 10 posts with highest engagement.</t>
  </si>
  <si>
    <t>Sum of Shares</t>
  </si>
  <si>
    <t>Sum of Likes</t>
  </si>
  <si>
    <t>Sum of Comments</t>
  </si>
  <si>
    <t>Total Likes, Shares, and Comments by Content Type and Platform</t>
  </si>
  <si>
    <t>Average engagement rate per platform</t>
  </si>
  <si>
    <t>Average Clicks per post by Hashtag.</t>
  </si>
  <si>
    <t>Clicks for all hashtags</t>
  </si>
  <si>
    <t>ALL Hashtags</t>
  </si>
  <si>
    <t>Rank of Clicks</t>
  </si>
  <si>
    <t>Total clicks for hashtag</t>
  </si>
  <si>
    <t>Likes count</t>
  </si>
  <si>
    <t>Shares count</t>
  </si>
  <si>
    <t>Comments count</t>
  </si>
  <si>
    <t>Sum of Total_Followers</t>
  </si>
  <si>
    <t>Sum of New_Followers</t>
  </si>
  <si>
    <t>Sum of Ad_Spend</t>
  </si>
  <si>
    <t>Average of Engagement_Rate</t>
  </si>
  <si>
    <t>Instagram generates the highest overall engagement rate</t>
  </si>
  <si>
    <t>Based on a comprehensive analysis of this data, the best strategy is to continue with a multi-platform approach but adopt a tiered focus strategy.</t>
  </si>
  <si>
    <t>1 -  Identify which Platform generates the highest engagement</t>
  </si>
  <si>
    <t>2 - Compare Growth rates of followers across different platforms.</t>
  </si>
  <si>
    <t>3 - Visualize the engagement by ad spend across Platform</t>
  </si>
  <si>
    <t>4 - Advise whether to focus on 1–2 core platforms or continue multi-platform strategy. Justify the opinion by the analysis</t>
  </si>
  <si>
    <t xml:space="preserve">Insights from this data shows that over all engagement considering all fields is little more on Instagram which is engaging more audience but at the same time few elements such as likes, comments and shares are litlle more on facebook which also helps in marketing of products. </t>
  </si>
  <si>
    <t>By visualization on expenditure of ads and it effects on engagement we come to know that company has spend less on instagram ads but has still increased little more engagement rate as compared to other platforms where company has invested more on ads.</t>
  </si>
  <si>
    <t>Amount spend on Instagram Ads are less and engagement rate is high.</t>
  </si>
  <si>
    <t>If we see a big picture of this analysis we come to know that all platforms are contributing for company's marketing and helping to reach large numbers of audience, it is just that few are contributing more as compared to others like intagram and facebook.</t>
  </si>
  <si>
    <t>Instead of treating all platforms equally or dropping some entirely, company should categorize them and focus little more on top tier platform like Instagram and facebook where audience engagement is more.</t>
  </si>
  <si>
    <t xml:space="preserve">At the same time company can do another analysis to find root causes of why other platforms are not getting good engagement rates and improve them simultaneously to get improvements and better results as compared to the present. </t>
  </si>
  <si>
    <t>By adopting this approach, company can invest wisely, play to the strengths of each platform, and continue to grow effectively without abandoning the unique advantages that each one provides.</t>
  </si>
  <si>
    <t>Engagement(likes+shares+comments)</t>
  </si>
  <si>
    <t>Facebook has minute less overall engagement than Instagram but few fields such as likes, shares and comments are little more on it</t>
  </si>
  <si>
    <t>1]A - Most frequently used hashtags</t>
  </si>
  <si>
    <t>Count of ALL Hashtags</t>
  </si>
  <si>
    <t>Most frequently used hashtags are #PepsiCoRefresh and #ThirstyForMore</t>
  </si>
  <si>
    <t xml:space="preserve">Average Likes </t>
  </si>
  <si>
    <t>Average Comments</t>
  </si>
  <si>
    <t>All hashtags</t>
  </si>
  <si>
    <t>Performance</t>
  </si>
  <si>
    <t>Average Performance of Posts for each Hashtag</t>
  </si>
  <si>
    <t>1]B - Average performance (likes, comments) of posts containing each hashtag.</t>
  </si>
  <si>
    <t>2 - Compare performance of videos vs. images vs. carousels across platforms.</t>
  </si>
  <si>
    <t>3 - Recommend which content types should be prioritized on which platform</t>
  </si>
  <si>
    <t>Avg. Engagement(Likes, shares, comments)</t>
  </si>
  <si>
    <t>Refer this chart to better understand which content type has high engagement.</t>
  </si>
  <si>
    <t xml:space="preserve">According to avg. of engagement(likes, shares, comments) content type that should be prioritized on respective platforms are : </t>
  </si>
  <si>
    <t>Priority content type</t>
  </si>
  <si>
    <t>Reel &amp; Video</t>
  </si>
  <si>
    <t>Youtube</t>
  </si>
  <si>
    <t>Avg. Performance</t>
  </si>
  <si>
    <t>1 - Total and average impressions, likes, and clicks per campaign</t>
  </si>
  <si>
    <t>Total Impressions</t>
  </si>
  <si>
    <t>Total Likes</t>
  </si>
  <si>
    <t>Total Clicks</t>
  </si>
  <si>
    <t>Average  Impressions</t>
  </si>
  <si>
    <t>Average Likes</t>
  </si>
  <si>
    <t>Average Clicks</t>
  </si>
  <si>
    <t>2- Engagement uplift during vs. before the campaign period.</t>
  </si>
  <si>
    <t>Campaign Period</t>
  </si>
  <si>
    <t>Average Engagement</t>
  </si>
  <si>
    <t>Before</t>
  </si>
  <si>
    <t>During</t>
  </si>
  <si>
    <t>3 - Which campaign had the highest ROI in terms of engagement vs. budget.</t>
  </si>
  <si>
    <t>Total Budget</t>
  </si>
  <si>
    <t>Total Engagement</t>
  </si>
  <si>
    <t>(ROI)Engagements per $1000</t>
  </si>
  <si>
    <t>4 - Which campaign had the strongest follower growth impact.</t>
  </si>
  <si>
    <t>Total New Followers</t>
  </si>
  <si>
    <t>DailyWellness campaign had the strongest follower growth impact.</t>
  </si>
  <si>
    <t>1 - Visualize weekly follower growth trends by platform using line charts.</t>
  </si>
  <si>
    <t>Visualizing weekly follower growth by platform for all the data in weeks column was not a good idea.</t>
  </si>
  <si>
    <t>Therefore I have created a month slicer to make visualization of trends more understandable and clean.</t>
  </si>
  <si>
    <t>Monthly slicer visuaizes weekly follower growth trend by platform for particular month.</t>
  </si>
  <si>
    <t>2 - Identify the week with the highest net follower gain.</t>
  </si>
  <si>
    <t>Net Follower Gain</t>
  </si>
  <si>
    <t>The week with the highest net follower gain is the week that starts on 30-12-2024</t>
  </si>
  <si>
    <t>3 - Create a moving average chart to smooth out follower growth trends.</t>
  </si>
  <si>
    <t>6 - Determine the correlation between ad spend and follower growth using scatter plots and basic correlation calculation</t>
  </si>
  <si>
    <t>Correlation (Ad Spend vs. New Followers):</t>
  </si>
  <si>
    <t xml:space="preserve">For highlight top-performing hashtags using a formula-based ranking </t>
  </si>
  <si>
    <t>I have created another table just beside post table in Posts worksheet.</t>
  </si>
  <si>
    <t>Please check Posts worksheet</t>
  </si>
  <si>
    <t>https://drive.google.com/file/d/1e-KwhWrpeNGaI4--_YquDjqIlHGraPyg/view?usp=sharing</t>
  </si>
  <si>
    <t>Link to video explanation of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</si>
</sst>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Arial"/>
    </font>
    <font>
      <sz val="11"/>
      <color theme="1"/>
      <name val="Calibri"/>
    </font>
    <font>
      <b/>
      <sz val="11"/>
      <color theme="1"/>
      <name val="Calibri"/>
      <family val="2"/>
      <scheme val="minor"/>
    </font>
    <font>
      <sz val="11"/>
      <color theme="1"/>
      <name val="Calibri"/>
      <family val="2"/>
    </font>
    <font>
      <sz val="11"/>
      <color theme="1"/>
      <name val="Algerian"/>
      <family val="5"/>
    </font>
    <font>
      <sz val="11"/>
      <color rgb="FF000000"/>
      <name val="Calibri"/>
      <family val="2"/>
      <scheme val="minor"/>
    </font>
    <font>
      <b/>
      <sz val="11"/>
      <color rgb="FF000000"/>
      <name val="Calibri"/>
      <family val="2"/>
      <scheme val="minor"/>
    </font>
    <font>
      <sz val="12"/>
      <color theme="1"/>
      <name val="Algerian"/>
      <family val="5"/>
    </font>
    <font>
      <sz val="16"/>
      <color theme="1"/>
      <name val="Algerian"/>
      <family val="5"/>
    </font>
    <font>
      <sz val="11"/>
      <color theme="1"/>
      <name val="Arial"/>
      <family val="2"/>
    </font>
    <font>
      <sz val="12"/>
      <color theme="1"/>
      <name val="Calibri"/>
      <family val="2"/>
      <scheme val="minor"/>
    </font>
    <font>
      <sz val="14"/>
      <color theme="1"/>
      <name val="Algerian"/>
      <family val="5"/>
    </font>
    <font>
      <sz val="12"/>
      <color theme="1"/>
      <name val="Arial"/>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tint="0.79998168889431442"/>
        <bgColor indexed="64"/>
      </patternFill>
    </fill>
    <fill>
      <patternFill patternType="solid">
        <fgColor theme="6" tint="0.39997558519241921"/>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theme="9" tint="0.39997558519241921"/>
      </right>
      <top style="thin">
        <color theme="9" tint="0.39997558519241921"/>
      </top>
      <bottom style="thin">
        <color theme="9" tint="0.3999755851924192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9" fontId="3" fillId="0" borderId="0" applyFont="0" applyFill="0" applyBorder="0" applyAlignment="0" applyProtection="0"/>
  </cellStyleXfs>
  <cellXfs count="99">
    <xf numFmtId="0" fontId="0" fillId="0" borderId="0" xfId="0"/>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3" fillId="0" borderId="0" xfId="0" applyFont="1"/>
    <xf numFmtId="0" fontId="4" fillId="0" borderId="0" xfId="0" applyFont="1"/>
    <xf numFmtId="0" fontId="5" fillId="0" borderId="0" xfId="0" applyFont="1"/>
    <xf numFmtId="0" fontId="5" fillId="0" borderId="1" xfId="0" applyFont="1" applyBorder="1"/>
    <xf numFmtId="0" fontId="5" fillId="0" borderId="1" xfId="0" applyFont="1" applyBorder="1" applyAlignment="1">
      <alignment wrapText="1"/>
    </xf>
    <xf numFmtId="0" fontId="3" fillId="0" borderId="0" xfId="0" applyFont="1" applyAlignment="1">
      <alignment wrapText="1"/>
    </xf>
    <xf numFmtId="0" fontId="0" fillId="0" borderId="0" xfId="0" applyNumberFormat="1"/>
    <xf numFmtId="14" fontId="2" fillId="0" borderId="1" xfId="0" applyNumberFormat="1" applyFont="1" applyBorder="1" applyAlignment="1">
      <alignment horizontal="center" vertical="top"/>
    </xf>
    <xf numFmtId="14" fontId="3" fillId="0" borderId="0" xfId="0" applyNumberFormat="1" applyFont="1"/>
    <xf numFmtId="14" fontId="0" fillId="0" borderId="0" xfId="0" applyNumberFormat="1"/>
    <xf numFmtId="1" fontId="2" fillId="0" borderId="1" xfId="0" applyNumberFormat="1" applyFont="1" applyBorder="1" applyAlignment="1">
      <alignment horizontal="center" vertical="top"/>
    </xf>
    <xf numFmtId="1" fontId="3" fillId="0" borderId="0" xfId="0" applyNumberFormat="1" applyFont="1"/>
    <xf numFmtId="1" fontId="0" fillId="0" borderId="0" xfId="0" applyNumberFormat="1"/>
    <xf numFmtId="1" fontId="2" fillId="0" borderId="1" xfId="0" applyNumberFormat="1" applyFont="1" applyBorder="1" applyAlignment="1">
      <alignment horizontal="center" vertical="top" wrapText="1"/>
    </xf>
    <xf numFmtId="49" fontId="0" fillId="0" borderId="0" xfId="0" applyNumberFormat="1"/>
    <xf numFmtId="0" fontId="1" fillId="0" borderId="0" xfId="0" applyFont="1"/>
    <xf numFmtId="49" fontId="6" fillId="0" borderId="0" xfId="0" applyNumberFormat="1" applyFont="1"/>
    <xf numFmtId="49" fontId="2" fillId="0" borderId="1" xfId="0" applyNumberFormat="1" applyFont="1" applyBorder="1" applyAlignment="1">
      <alignment horizontal="center" vertical="top" wrapText="1"/>
    </xf>
    <xf numFmtId="49" fontId="3" fillId="0" borderId="0" xfId="0" applyNumberFormat="1" applyFont="1"/>
    <xf numFmtId="49" fontId="6" fillId="0" borderId="0" xfId="0" applyNumberFormat="1" applyFont="1" applyFill="1" applyBorder="1"/>
    <xf numFmtId="49" fontId="1" fillId="0" borderId="0" xfId="0" applyNumberFormat="1" applyFont="1"/>
    <xf numFmtId="9" fontId="6" fillId="0" borderId="0" xfId="1" applyFont="1" applyFill="1" applyBorder="1"/>
    <xf numFmtId="9" fontId="0" fillId="0" borderId="0" xfId="1" applyFont="1"/>
    <xf numFmtId="0" fontId="0" fillId="0" borderId="0" xfId="0" pivotButton="1"/>
    <xf numFmtId="0" fontId="0" fillId="0" borderId="0" xfId="0" applyAlignment="1">
      <alignment horizontal="left"/>
    </xf>
    <xf numFmtId="9" fontId="0" fillId="0" borderId="0" xfId="0" applyNumberFormat="1"/>
    <xf numFmtId="0" fontId="8" fillId="0" borderId="0" xfId="0" applyFont="1"/>
    <xf numFmtId="0" fontId="9" fillId="0" borderId="0" xfId="0" applyFont="1"/>
    <xf numFmtId="49" fontId="9" fillId="0" borderId="0" xfId="0" applyNumberFormat="1" applyFont="1"/>
    <xf numFmtId="1" fontId="9" fillId="0" borderId="0" xfId="0" applyNumberFormat="1" applyFont="1"/>
    <xf numFmtId="9" fontId="9" fillId="0" borderId="0" xfId="0" applyNumberFormat="1" applyFont="1"/>
    <xf numFmtId="49" fontId="10" fillId="0" borderId="0" xfId="0" applyNumberFormat="1" applyFont="1"/>
    <xf numFmtId="9" fontId="10" fillId="0" borderId="0" xfId="0" applyNumberFormat="1" applyFont="1"/>
    <xf numFmtId="0" fontId="0" fillId="0" borderId="0" xfId="0" applyAlignment="1">
      <alignment horizontal="left" indent="1"/>
    </xf>
    <xf numFmtId="0" fontId="11" fillId="0" borderId="0" xfId="0" applyFont="1"/>
    <xf numFmtId="0" fontId="12" fillId="0" borderId="0" xfId="0" applyFont="1"/>
    <xf numFmtId="49" fontId="0" fillId="0" borderId="3" xfId="0" applyNumberFormat="1" applyBorder="1"/>
    <xf numFmtId="14" fontId="1" fillId="0" borderId="0" xfId="0" applyNumberFormat="1" applyFont="1"/>
    <xf numFmtId="1" fontId="1" fillId="0" borderId="0" xfId="0" applyNumberFormat="1" applyFont="1"/>
    <xf numFmtId="0" fontId="13" fillId="0" borderId="0" xfId="0" applyFont="1"/>
    <xf numFmtId="0" fontId="7" fillId="0" borderId="0" xfId="0" applyFont="1"/>
    <xf numFmtId="0" fontId="10" fillId="3" borderId="1" xfId="0" applyFont="1" applyFill="1" applyBorder="1" applyAlignment="1">
      <alignment horizontal="center" vertical="top"/>
    </xf>
    <xf numFmtId="0" fontId="10" fillId="3" borderId="2" xfId="0" applyFont="1" applyFill="1" applyBorder="1" applyAlignment="1">
      <alignment horizontal="center" vertical="top" wrapText="1"/>
    </xf>
    <xf numFmtId="14" fontId="10" fillId="3" borderId="2" xfId="0" applyNumberFormat="1" applyFont="1" applyFill="1" applyBorder="1" applyAlignment="1">
      <alignment horizontal="center" vertical="top"/>
    </xf>
    <xf numFmtId="49" fontId="10" fillId="3" borderId="2" xfId="0" applyNumberFormat="1" applyFont="1" applyFill="1" applyBorder="1" applyAlignment="1">
      <alignment horizontal="center" vertical="top" wrapText="1"/>
    </xf>
    <xf numFmtId="1" fontId="10" fillId="3" borderId="2" xfId="0" applyNumberFormat="1" applyFont="1" applyFill="1" applyBorder="1" applyAlignment="1">
      <alignment horizontal="center" vertical="top"/>
    </xf>
    <xf numFmtId="1" fontId="10" fillId="3" borderId="2" xfId="0" applyNumberFormat="1" applyFont="1" applyFill="1" applyBorder="1" applyAlignment="1">
      <alignment horizontal="center" vertical="top" wrapText="1"/>
    </xf>
    <xf numFmtId="9" fontId="10" fillId="3" borderId="0" xfId="0" applyNumberFormat="1" applyFont="1" applyFill="1" applyAlignment="1">
      <alignment horizontal="center" vertical="top" wrapText="1"/>
    </xf>
    <xf numFmtId="49" fontId="10" fillId="3" borderId="0" xfId="0" applyNumberFormat="1" applyFont="1" applyFill="1" applyAlignment="1">
      <alignment horizontal="center" vertical="top" wrapText="1"/>
    </xf>
    <xf numFmtId="0" fontId="9" fillId="3" borderId="0" xfId="0" applyFont="1" applyFill="1"/>
    <xf numFmtId="14" fontId="9" fillId="3" borderId="0" xfId="0" applyNumberFormat="1" applyFont="1" applyFill="1"/>
    <xf numFmtId="49" fontId="9" fillId="3" borderId="0" xfId="0" applyNumberFormat="1" applyFont="1" applyFill="1"/>
    <xf numFmtId="1" fontId="9" fillId="3" borderId="0" xfId="0" applyNumberFormat="1" applyFont="1" applyFill="1"/>
    <xf numFmtId="9" fontId="9" fillId="3" borderId="0" xfId="0" applyNumberFormat="1" applyFont="1" applyFill="1"/>
    <xf numFmtId="9" fontId="1" fillId="0" borderId="0" xfId="0" applyNumberFormat="1" applyFont="1"/>
    <xf numFmtId="0" fontId="14" fillId="0" borderId="0" xfId="0" applyFont="1"/>
    <xf numFmtId="0" fontId="11" fillId="0" borderId="0" xfId="0" applyFont="1" applyFill="1"/>
    <xf numFmtId="0" fontId="8" fillId="0" borderId="0" xfId="0" applyFont="1" applyAlignment="1">
      <alignment horizontal="left"/>
    </xf>
    <xf numFmtId="0" fontId="15" fillId="0" borderId="0" xfId="0" applyFont="1"/>
    <xf numFmtId="1" fontId="5" fillId="0" borderId="0" xfId="0" applyNumberFormat="1" applyFont="1"/>
    <xf numFmtId="14" fontId="5" fillId="0" borderId="0" xfId="0" applyNumberFormat="1" applyFont="1"/>
    <xf numFmtId="49" fontId="5" fillId="0" borderId="0" xfId="0" applyNumberFormat="1" applyFont="1"/>
    <xf numFmtId="14" fontId="5" fillId="0" borderId="1" xfId="0" applyNumberFormat="1" applyFont="1" applyBorder="1" applyAlignment="1">
      <alignment wrapText="1"/>
    </xf>
    <xf numFmtId="14" fontId="5" fillId="0" borderId="1" xfId="0" applyNumberFormat="1" applyFont="1" applyBorder="1"/>
    <xf numFmtId="0" fontId="16" fillId="0" borderId="0" xfId="0" applyFont="1" applyAlignment="1">
      <alignment horizontal="left"/>
    </xf>
    <xf numFmtId="1" fontId="0" fillId="5" borderId="0" xfId="0" applyNumberFormat="1" applyFill="1"/>
    <xf numFmtId="0" fontId="15" fillId="0" borderId="0" xfId="0" applyFont="1" applyAlignment="1">
      <alignment horizontal="left" indent="1"/>
    </xf>
    <xf numFmtId="0" fontId="16" fillId="0" borderId="0" xfId="0" applyFont="1" applyAlignment="1">
      <alignment horizontal="left" indent="1"/>
    </xf>
    <xf numFmtId="0" fontId="16" fillId="0" borderId="0" xfId="0" applyFont="1"/>
    <xf numFmtId="0" fontId="15" fillId="0" borderId="0" xfId="0" applyFont="1" applyAlignment="1">
      <alignment horizontal="left"/>
    </xf>
    <xf numFmtId="0" fontId="5" fillId="0" borderId="2" xfId="0" applyFont="1" applyBorder="1"/>
    <xf numFmtId="0" fontId="5" fillId="0" borderId="6" xfId="0" applyFont="1" applyBorder="1" applyAlignment="1">
      <alignment wrapText="1"/>
    </xf>
    <xf numFmtId="0" fontId="2" fillId="0" borderId="7" xfId="0" applyFont="1" applyBorder="1" applyAlignment="1">
      <alignment horizontal="center" vertical="top"/>
    </xf>
    <xf numFmtId="14" fontId="2" fillId="0" borderId="5" xfId="0" applyNumberFormat="1" applyFont="1" applyBorder="1" applyAlignment="1">
      <alignment horizontal="center" vertical="top" wrapText="1"/>
    </xf>
    <xf numFmtId="14" fontId="2" fillId="0" borderId="5" xfId="0" applyNumberFormat="1" applyFont="1" applyBorder="1" applyAlignment="1">
      <alignment horizontal="center" vertical="top"/>
    </xf>
    <xf numFmtId="0" fontId="2" fillId="0" borderId="5" xfId="0" applyFont="1" applyBorder="1" applyAlignment="1">
      <alignment horizontal="center" vertical="top"/>
    </xf>
    <xf numFmtId="0" fontId="2" fillId="0" borderId="5" xfId="0" applyFont="1" applyBorder="1" applyAlignment="1">
      <alignment horizontal="center" vertical="top" wrapText="1"/>
    </xf>
    <xf numFmtId="0" fontId="2" fillId="0" borderId="8" xfId="0" applyFont="1" applyBorder="1" applyAlignment="1">
      <alignment horizontal="center" vertical="top" wrapText="1"/>
    </xf>
    <xf numFmtId="0" fontId="5" fillId="0" borderId="9" xfId="0" applyFont="1" applyBorder="1"/>
    <xf numFmtId="14" fontId="5" fillId="0" borderId="4" xfId="0" applyNumberFormat="1" applyFont="1" applyBorder="1" applyAlignment="1">
      <alignment wrapText="1"/>
    </xf>
    <xf numFmtId="14" fontId="5" fillId="0" borderId="4" xfId="0" applyNumberFormat="1" applyFont="1" applyBorder="1"/>
    <xf numFmtId="0" fontId="5" fillId="0" borderId="4" xfId="0" applyFont="1" applyBorder="1"/>
    <xf numFmtId="0" fontId="5" fillId="0" borderId="4" xfId="0" applyFont="1" applyBorder="1" applyAlignment="1">
      <alignment wrapText="1"/>
    </xf>
    <xf numFmtId="0" fontId="5" fillId="0" borderId="10" xfId="0" applyFont="1" applyBorder="1" applyAlignment="1">
      <alignment wrapText="1"/>
    </xf>
    <xf numFmtId="0" fontId="6" fillId="4" borderId="0" xfId="0" applyFont="1" applyFill="1" applyAlignment="1">
      <alignment horizontal="center" vertical="top"/>
    </xf>
    <xf numFmtId="49" fontId="2" fillId="0" borderId="5" xfId="0" applyNumberFormat="1" applyFont="1" applyBorder="1" applyAlignment="1">
      <alignment horizontal="center" vertical="top"/>
    </xf>
    <xf numFmtId="1" fontId="2" fillId="0" borderId="5" xfId="0" applyNumberFormat="1" applyFont="1" applyBorder="1" applyAlignment="1">
      <alignment horizontal="center" vertical="top" wrapText="1"/>
    </xf>
    <xf numFmtId="1" fontId="2" fillId="0" borderId="5" xfId="0" applyNumberFormat="1" applyFont="1" applyBorder="1" applyAlignment="1">
      <alignment horizontal="center" vertical="top"/>
    </xf>
    <xf numFmtId="0" fontId="7" fillId="2" borderId="1" xfId="0" applyFont="1" applyFill="1" applyBorder="1"/>
    <xf numFmtId="14" fontId="7" fillId="2" borderId="1" xfId="0" applyNumberFormat="1" applyFont="1" applyFill="1" applyBorder="1" applyAlignment="1">
      <alignment wrapText="1"/>
    </xf>
    <xf numFmtId="14" fontId="7" fillId="2" borderId="1" xfId="0" applyNumberFormat="1" applyFont="1" applyFill="1" applyBorder="1"/>
    <xf numFmtId="0" fontId="7" fillId="0" borderId="1" xfId="0" applyFont="1" applyBorder="1"/>
    <xf numFmtId="14" fontId="7" fillId="0" borderId="1" xfId="0" applyNumberFormat="1" applyFont="1" applyBorder="1" applyAlignment="1">
      <alignment wrapText="1"/>
    </xf>
    <xf numFmtId="14" fontId="7" fillId="0" borderId="1" xfId="0" applyNumberFormat="1" applyFont="1" applyBorder="1"/>
    <xf numFmtId="14" fontId="0" fillId="0" borderId="0" xfId="0" applyNumberFormat="1" applyAlignment="1">
      <alignment horizontal="left"/>
    </xf>
    <xf numFmtId="14" fontId="0" fillId="5" borderId="0" xfId="0" applyNumberFormat="1" applyFill="1" applyAlignment="1">
      <alignment horizontal="left"/>
    </xf>
  </cellXfs>
  <cellStyles count="2">
    <cellStyle name="Normal" xfId="0" builtinId="0"/>
    <cellStyle name="Per cent" xfId="1" builtinId="5"/>
  </cellStyles>
  <dxfs count="73">
    <dxf>
      <fill>
        <patternFill>
          <bgColor rgb="FF00B050"/>
        </patternFill>
      </fill>
    </dxf>
    <dxf>
      <fill>
        <patternFill>
          <bgColor rgb="FF00B050"/>
        </patternFill>
      </fill>
    </dxf>
    <dxf>
      <fill>
        <patternFill>
          <bgColor rgb="FF00B050"/>
        </patternFill>
      </fill>
    </dxf>
    <dxf>
      <fill>
        <patternFill>
          <bgColor rgb="FF00B050"/>
        </patternFill>
      </fill>
    </dxf>
    <dxf>
      <fill>
        <patternFill patternType="solid">
          <bgColor theme="6" tint="0.39997558519241921"/>
        </patternFill>
      </fill>
    </dxf>
    <dxf>
      <fill>
        <patternFill patternType="solid">
          <bgColor theme="6" tint="0.39997558519241921"/>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30" formatCode="@"/>
    </dxf>
    <dxf>
      <font>
        <b val="0"/>
        <i val="0"/>
        <strike val="0"/>
        <condense val="0"/>
        <extend val="0"/>
        <outline val="0"/>
        <shadow val="0"/>
        <u val="none"/>
        <vertAlign val="baseline"/>
        <sz val="11"/>
        <color theme="1"/>
        <name val="Calibri"/>
        <scheme val="none"/>
      </font>
      <numFmt numFmtId="19" formatCode="dd/mm/yyyy"/>
    </dxf>
    <dxf>
      <border outline="0">
        <bottom style="thin">
          <color rgb="FF000000"/>
        </bottom>
      </border>
    </dxf>
    <dxf>
      <border outline="0">
        <top style="thin">
          <color rgb="FF000000"/>
        </top>
      </border>
    </dxf>
    <dxf>
      <numFmt numFmtId="0" formatCode="General"/>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numFmt numFmtId="0" formatCode="General"/>
    </dxf>
    <dxf>
      <numFmt numFmtId="0" formatCode="General"/>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numFmt numFmtId="1" formatCode="0"/>
    </dxf>
    <dxf>
      <font>
        <b val="0"/>
        <i val="0"/>
        <strike val="0"/>
        <condense val="0"/>
        <extend val="0"/>
        <outline val="0"/>
        <shadow val="0"/>
        <u val="none"/>
        <vertAlign val="baseline"/>
        <sz val="11"/>
        <color theme="1"/>
        <name val="Calibri"/>
        <family val="2"/>
        <scheme val="minor"/>
      </font>
      <numFmt numFmtId="13" formatCode="0%"/>
    </dxf>
    <dxf>
      <numFmt numFmtId="30" formatCode="@"/>
    </dxf>
    <dxf>
      <numFmt numFmtId="30" formatCode="@"/>
    </dxf>
    <dxf>
      <numFmt numFmtId="30" formatCode="@"/>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Arial"/>
        <scheme val="none"/>
      </font>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numFmt numFmtId="30" formatCode="@"/>
    </dxf>
    <dxf>
      <numFmt numFmtId="1" formatCode="0"/>
    </dxf>
    <dxf>
      <font>
        <b val="0"/>
        <i val="0"/>
        <strike val="0"/>
        <condense val="0"/>
        <extend val="0"/>
        <outline val="0"/>
        <shadow val="0"/>
        <u val="none"/>
        <vertAlign val="baseline"/>
        <sz val="11"/>
        <color theme="1"/>
        <name val="Calibri"/>
        <scheme val="minor"/>
      </font>
    </dxf>
    <dxf>
      <numFmt numFmtId="30" formatCode="@"/>
    </dxf>
    <dxf>
      <numFmt numFmtId="30" formatCode="@"/>
    </dxf>
    <dxf>
      <numFmt numFmtId="30" formatCode="@"/>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[Excel_Project_Social_Media_Analytics.xlsx]Task 3!PivotTable28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537182852144"/>
          <c:y val="0.16564596092155148"/>
          <c:w val="0.56614960629921263"/>
          <c:h val="0.65853091280256637"/>
        </c:manualLayout>
      </c:layout>
      <c:barChart>
        <c:barDir val="col"/>
        <c:grouping val="clustered"/>
        <c:varyColors val="0"/>
        <c:ser>
          <c:idx val="0"/>
          <c:order val="0"/>
          <c:tx>
            <c:strRef>
              <c:f>'Task 3'!$B$12</c:f>
              <c:strCache>
                <c:ptCount val="1"/>
                <c:pt idx="0">
                  <c:v>Total</c:v>
                </c:pt>
              </c:strCache>
            </c:strRef>
          </c:tx>
          <c:spPr>
            <a:solidFill>
              <a:schemeClr val="accent1"/>
            </a:solidFill>
            <a:ln>
              <a:noFill/>
            </a:ln>
            <a:effectLst/>
          </c:spPr>
          <c:invertIfNegative val="0"/>
          <c:cat>
            <c:strRef>
              <c:f>'Task 3'!$A$13:$A$16</c:f>
              <c:strCache>
                <c:ptCount val="4"/>
                <c:pt idx="0">
                  <c:v>Facebook</c:v>
                </c:pt>
                <c:pt idx="1">
                  <c:v>Instagram</c:v>
                </c:pt>
                <c:pt idx="2">
                  <c:v>Twitter</c:v>
                </c:pt>
                <c:pt idx="3">
                  <c:v>YouTube</c:v>
                </c:pt>
              </c:strCache>
            </c:strRef>
          </c:cat>
          <c:val>
            <c:numRef>
              <c:f>'Task 3'!$B$13:$B$16</c:f>
              <c:numCache>
                <c:formatCode>General</c:formatCode>
                <c:ptCount val="4"/>
                <c:pt idx="0">
                  <c:v>50862</c:v>
                </c:pt>
                <c:pt idx="1">
                  <c:v>58311</c:v>
                </c:pt>
                <c:pt idx="2">
                  <c:v>53484</c:v>
                </c:pt>
                <c:pt idx="3">
                  <c:v>47471</c:v>
                </c:pt>
              </c:numCache>
            </c:numRef>
          </c:val>
          <c:extLst>
            <c:ext xmlns:c16="http://schemas.microsoft.com/office/drawing/2014/chart" uri="{C3380CC4-5D6E-409C-BE32-E72D297353CC}">
              <c16:uniqueId val="{00000000-2D09-490B-95A2-A48CB07E02BE}"/>
            </c:ext>
          </c:extLst>
        </c:ser>
        <c:dLbls>
          <c:showLegendKey val="0"/>
          <c:showVal val="0"/>
          <c:showCatName val="0"/>
          <c:showSerName val="0"/>
          <c:showPercent val="0"/>
          <c:showBubbleSize val="0"/>
        </c:dLbls>
        <c:gapWidth val="219"/>
        <c:overlap val="-27"/>
        <c:axId val="784290943"/>
        <c:axId val="784292863"/>
      </c:barChart>
      <c:catAx>
        <c:axId val="78429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92863"/>
        <c:crosses val="autoZero"/>
        <c:auto val="1"/>
        <c:lblAlgn val="ctr"/>
        <c:lblOffset val="100"/>
        <c:noMultiLvlLbl val="0"/>
      </c:catAx>
      <c:valAx>
        <c:axId val="78429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9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[Excel_Project_Social_Media_Analytics.xlsx]Task 3!PivotTable31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3'!$B$29</c:f>
              <c:strCache>
                <c:ptCount val="1"/>
                <c:pt idx="0">
                  <c:v>Sum of Ad_Spend</c:v>
                </c:pt>
              </c:strCache>
            </c:strRef>
          </c:tx>
          <c:spPr>
            <a:solidFill>
              <a:schemeClr val="accent1"/>
            </a:solidFill>
            <a:ln>
              <a:noFill/>
            </a:ln>
            <a:effectLst/>
          </c:spPr>
          <c:invertIfNegative val="0"/>
          <c:cat>
            <c:strRef>
              <c:f>'Task 3'!$A$30:$A$33</c:f>
              <c:strCache>
                <c:ptCount val="4"/>
                <c:pt idx="0">
                  <c:v>Facebook</c:v>
                </c:pt>
                <c:pt idx="1">
                  <c:v>Instagram</c:v>
                </c:pt>
                <c:pt idx="2">
                  <c:v>Twitter</c:v>
                </c:pt>
                <c:pt idx="3">
                  <c:v>YouTube</c:v>
                </c:pt>
              </c:strCache>
            </c:strRef>
          </c:cat>
          <c:val>
            <c:numRef>
              <c:f>'Task 3'!$B$30:$B$33</c:f>
              <c:numCache>
                <c:formatCode>General</c:formatCode>
                <c:ptCount val="4"/>
                <c:pt idx="0">
                  <c:v>1379539</c:v>
                </c:pt>
                <c:pt idx="1">
                  <c:v>1164373</c:v>
                </c:pt>
                <c:pt idx="2">
                  <c:v>1060357</c:v>
                </c:pt>
                <c:pt idx="3">
                  <c:v>1228647</c:v>
                </c:pt>
              </c:numCache>
            </c:numRef>
          </c:val>
          <c:extLst>
            <c:ext xmlns:c16="http://schemas.microsoft.com/office/drawing/2014/chart" uri="{C3380CC4-5D6E-409C-BE32-E72D297353CC}">
              <c16:uniqueId val="{00000000-9423-4F09-B6AF-4BE32E2CD5AB}"/>
            </c:ext>
          </c:extLst>
        </c:ser>
        <c:dLbls>
          <c:showLegendKey val="0"/>
          <c:showVal val="0"/>
          <c:showCatName val="0"/>
          <c:showSerName val="0"/>
          <c:showPercent val="0"/>
          <c:showBubbleSize val="0"/>
        </c:dLbls>
        <c:gapWidth val="219"/>
        <c:overlap val="-27"/>
        <c:axId val="784325983"/>
        <c:axId val="784337983"/>
      </c:barChart>
      <c:lineChart>
        <c:grouping val="standard"/>
        <c:varyColors val="0"/>
        <c:ser>
          <c:idx val="1"/>
          <c:order val="1"/>
          <c:tx>
            <c:strRef>
              <c:f>'Task 3'!$C$29</c:f>
              <c:strCache>
                <c:ptCount val="1"/>
                <c:pt idx="0">
                  <c:v>Average of Engagement_Rate</c:v>
                </c:pt>
              </c:strCache>
            </c:strRef>
          </c:tx>
          <c:spPr>
            <a:ln w="28575" cap="rnd">
              <a:solidFill>
                <a:schemeClr val="accent2"/>
              </a:solidFill>
              <a:round/>
            </a:ln>
            <a:effectLst/>
          </c:spPr>
          <c:marker>
            <c:symbol val="none"/>
          </c:marker>
          <c:cat>
            <c:strRef>
              <c:f>'Task 3'!$A$30:$A$33</c:f>
              <c:strCache>
                <c:ptCount val="4"/>
                <c:pt idx="0">
                  <c:v>Facebook</c:v>
                </c:pt>
                <c:pt idx="1">
                  <c:v>Instagram</c:v>
                </c:pt>
                <c:pt idx="2">
                  <c:v>Twitter</c:v>
                </c:pt>
                <c:pt idx="3">
                  <c:v>YouTube</c:v>
                </c:pt>
              </c:strCache>
            </c:strRef>
          </c:cat>
          <c:val>
            <c:numRef>
              <c:f>'Task 3'!$C$30:$C$33</c:f>
              <c:numCache>
                <c:formatCode>General</c:formatCode>
                <c:ptCount val="4"/>
                <c:pt idx="0">
                  <c:v>5.6486000000000001</c:v>
                </c:pt>
                <c:pt idx="1">
                  <c:v>5.7156000000000002</c:v>
                </c:pt>
                <c:pt idx="2">
                  <c:v>5.6558000000000002</c:v>
                </c:pt>
                <c:pt idx="3">
                  <c:v>5.5587999999999997</c:v>
                </c:pt>
              </c:numCache>
            </c:numRef>
          </c:val>
          <c:smooth val="0"/>
          <c:extLst>
            <c:ext xmlns:c16="http://schemas.microsoft.com/office/drawing/2014/chart" uri="{C3380CC4-5D6E-409C-BE32-E72D297353CC}">
              <c16:uniqueId val="{00000001-9423-4F09-B6AF-4BE32E2CD5AB}"/>
            </c:ext>
          </c:extLst>
        </c:ser>
        <c:dLbls>
          <c:showLegendKey val="0"/>
          <c:showVal val="0"/>
          <c:showCatName val="0"/>
          <c:showSerName val="0"/>
          <c:showPercent val="0"/>
          <c:showBubbleSize val="0"/>
        </c:dLbls>
        <c:marker val="1"/>
        <c:smooth val="0"/>
        <c:axId val="784326463"/>
        <c:axId val="784341823"/>
      </c:lineChart>
      <c:catAx>
        <c:axId val="78432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37983"/>
        <c:crosses val="autoZero"/>
        <c:auto val="1"/>
        <c:lblAlgn val="ctr"/>
        <c:lblOffset val="100"/>
        <c:noMultiLvlLbl val="0"/>
      </c:catAx>
      <c:valAx>
        <c:axId val="78433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25983"/>
        <c:crosses val="autoZero"/>
        <c:crossBetween val="between"/>
      </c:valAx>
      <c:valAx>
        <c:axId val="7843418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26463"/>
        <c:crosses val="max"/>
        <c:crossBetween val="between"/>
      </c:valAx>
      <c:catAx>
        <c:axId val="784326463"/>
        <c:scaling>
          <c:orientation val="minMax"/>
        </c:scaling>
        <c:delete val="1"/>
        <c:axPos val="b"/>
        <c:numFmt formatCode="General" sourceLinked="1"/>
        <c:majorTickMark val="out"/>
        <c:minorTickMark val="none"/>
        <c:tickLblPos val="nextTo"/>
        <c:crossAx val="78434182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[Excel_Project_Social_Media_Analytics.xlsx]Task 4!PivotTable46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4'!$B$46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 4'!$A$47:$A$74</c:f>
              <c:multiLvlStrCache>
                <c:ptCount val="24"/>
                <c:lvl>
                  <c:pt idx="0">
                    <c:v>Carousel</c:v>
                  </c:pt>
                  <c:pt idx="1">
                    <c:v>Image</c:v>
                  </c:pt>
                  <c:pt idx="2">
                    <c:v>Reel</c:v>
                  </c:pt>
                  <c:pt idx="3">
                    <c:v>Story</c:v>
                  </c:pt>
                  <c:pt idx="4">
                    <c:v>Text</c:v>
                  </c:pt>
                  <c:pt idx="5">
                    <c:v>Video</c:v>
                  </c:pt>
                  <c:pt idx="6">
                    <c:v>Carousel</c:v>
                  </c:pt>
                  <c:pt idx="7">
                    <c:v>Image</c:v>
                  </c:pt>
                  <c:pt idx="8">
                    <c:v>Reel</c:v>
                  </c:pt>
                  <c:pt idx="9">
                    <c:v>Story</c:v>
                  </c:pt>
                  <c:pt idx="10">
                    <c:v>Text</c:v>
                  </c:pt>
                  <c:pt idx="11">
                    <c:v>Video</c:v>
                  </c:pt>
                  <c:pt idx="12">
                    <c:v>Carousel</c:v>
                  </c:pt>
                  <c:pt idx="13">
                    <c:v>Image</c:v>
                  </c:pt>
                  <c:pt idx="14">
                    <c:v>Reel</c:v>
                  </c:pt>
                  <c:pt idx="15">
                    <c:v>Story</c:v>
                  </c:pt>
                  <c:pt idx="16">
                    <c:v>Text</c:v>
                  </c:pt>
                  <c:pt idx="17">
                    <c:v>Video</c:v>
                  </c:pt>
                  <c:pt idx="18">
                    <c:v>Carousel</c:v>
                  </c:pt>
                  <c:pt idx="19">
                    <c:v>Image</c:v>
                  </c:pt>
                  <c:pt idx="20">
                    <c:v>Reel</c:v>
                  </c:pt>
                  <c:pt idx="21">
                    <c:v>Story</c:v>
                  </c:pt>
                  <c:pt idx="22">
                    <c:v>Text</c:v>
                  </c:pt>
                  <c:pt idx="23">
                    <c:v>Video</c:v>
                  </c:pt>
                </c:lvl>
                <c:lvl>
                  <c:pt idx="0">
                    <c:v>Facebook</c:v>
                  </c:pt>
                  <c:pt idx="6">
                    <c:v>Instagram</c:v>
                  </c:pt>
                  <c:pt idx="12">
                    <c:v>Twitter</c:v>
                  </c:pt>
                  <c:pt idx="18">
                    <c:v>YouTube</c:v>
                  </c:pt>
                </c:lvl>
              </c:multiLvlStrCache>
            </c:multiLvlStrRef>
          </c:cat>
          <c:val>
            <c:numRef>
              <c:f>'Task 4'!$B$47:$B$74</c:f>
              <c:numCache>
                <c:formatCode>0</c:formatCode>
                <c:ptCount val="24"/>
                <c:pt idx="0">
                  <c:v>56465</c:v>
                </c:pt>
                <c:pt idx="1">
                  <c:v>91001</c:v>
                </c:pt>
                <c:pt idx="2">
                  <c:v>45685</c:v>
                </c:pt>
                <c:pt idx="3">
                  <c:v>37578</c:v>
                </c:pt>
                <c:pt idx="4">
                  <c:v>40132</c:v>
                </c:pt>
                <c:pt idx="5">
                  <c:v>34381</c:v>
                </c:pt>
                <c:pt idx="6">
                  <c:v>54813</c:v>
                </c:pt>
                <c:pt idx="7">
                  <c:v>42143</c:v>
                </c:pt>
                <c:pt idx="8">
                  <c:v>43644</c:v>
                </c:pt>
                <c:pt idx="9">
                  <c:v>56544</c:v>
                </c:pt>
                <c:pt idx="10">
                  <c:v>32625</c:v>
                </c:pt>
                <c:pt idx="11">
                  <c:v>33810</c:v>
                </c:pt>
                <c:pt idx="12">
                  <c:v>58047</c:v>
                </c:pt>
                <c:pt idx="13">
                  <c:v>52507</c:v>
                </c:pt>
                <c:pt idx="14">
                  <c:v>33492</c:v>
                </c:pt>
                <c:pt idx="15">
                  <c:v>25750</c:v>
                </c:pt>
                <c:pt idx="16">
                  <c:v>40670</c:v>
                </c:pt>
                <c:pt idx="17">
                  <c:v>39218</c:v>
                </c:pt>
                <c:pt idx="18">
                  <c:v>33653</c:v>
                </c:pt>
                <c:pt idx="19">
                  <c:v>30290</c:v>
                </c:pt>
                <c:pt idx="20">
                  <c:v>39645</c:v>
                </c:pt>
                <c:pt idx="21">
                  <c:v>37846</c:v>
                </c:pt>
                <c:pt idx="22">
                  <c:v>32047</c:v>
                </c:pt>
                <c:pt idx="23">
                  <c:v>39460</c:v>
                </c:pt>
              </c:numCache>
            </c:numRef>
          </c:val>
          <c:extLst>
            <c:ext xmlns:c16="http://schemas.microsoft.com/office/drawing/2014/chart" uri="{C3380CC4-5D6E-409C-BE32-E72D297353CC}">
              <c16:uniqueId val="{00000000-DEB2-4D78-9F2C-25BE687439D2}"/>
            </c:ext>
          </c:extLst>
        </c:ser>
        <c:dLbls>
          <c:dLblPos val="outEnd"/>
          <c:showLegendKey val="0"/>
          <c:showVal val="1"/>
          <c:showCatName val="0"/>
          <c:showSerName val="0"/>
          <c:showPercent val="0"/>
          <c:showBubbleSize val="0"/>
        </c:dLbls>
        <c:gapWidth val="219"/>
        <c:overlap val="-27"/>
        <c:axId val="691519343"/>
        <c:axId val="691519823"/>
      </c:barChart>
      <c:catAx>
        <c:axId val="69151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519823"/>
        <c:crosses val="autoZero"/>
        <c:auto val="1"/>
        <c:lblAlgn val="ctr"/>
        <c:lblOffset val="100"/>
        <c:noMultiLvlLbl val="0"/>
      </c:catAx>
      <c:valAx>
        <c:axId val="691519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51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[Excel_Project_Social_Media_Analytics.xlsx]Task 4!PivotTable45</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'Task 4'!$B$26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'Task 4'!$A$27:$A$41</c:f>
              <c:multiLvlStrCache>
                <c:ptCount val="12"/>
                <c:lvl>
                  <c:pt idx="0">
                    <c:v>Facebook</c:v>
                  </c:pt>
                  <c:pt idx="1">
                    <c:v>Instagram</c:v>
                  </c:pt>
                  <c:pt idx="2">
                    <c:v>Twitter</c:v>
                  </c:pt>
                  <c:pt idx="3">
                    <c:v>YouTube</c:v>
                  </c:pt>
                  <c:pt idx="4">
                    <c:v>Facebook</c:v>
                  </c:pt>
                  <c:pt idx="5">
                    <c:v>Instagram</c:v>
                  </c:pt>
                  <c:pt idx="6">
                    <c:v>Twitter</c:v>
                  </c:pt>
                  <c:pt idx="7">
                    <c:v>YouTube</c:v>
                  </c:pt>
                  <c:pt idx="8">
                    <c:v>Facebook</c:v>
                  </c:pt>
                  <c:pt idx="9">
                    <c:v>Instagram</c:v>
                  </c:pt>
                  <c:pt idx="10">
                    <c:v>Twitter</c:v>
                  </c:pt>
                  <c:pt idx="11">
                    <c:v>YouTube</c:v>
                  </c:pt>
                </c:lvl>
                <c:lvl>
                  <c:pt idx="0">
                    <c:v>Carousel</c:v>
                  </c:pt>
                  <c:pt idx="4">
                    <c:v>Image</c:v>
                  </c:pt>
                  <c:pt idx="8">
                    <c:v>Video</c:v>
                  </c:pt>
                </c:lvl>
              </c:multiLvlStrCache>
            </c:multiLvlStrRef>
          </c:cat>
          <c:val>
            <c:numRef>
              <c:f>'Task 4'!$B$27:$B$41</c:f>
              <c:numCache>
                <c:formatCode>0</c:formatCode>
                <c:ptCount val="12"/>
                <c:pt idx="0">
                  <c:v>56465</c:v>
                </c:pt>
                <c:pt idx="1">
                  <c:v>54813</c:v>
                </c:pt>
                <c:pt idx="2">
                  <c:v>58047</c:v>
                </c:pt>
                <c:pt idx="3">
                  <c:v>33653</c:v>
                </c:pt>
                <c:pt idx="4">
                  <c:v>91001</c:v>
                </c:pt>
                <c:pt idx="5">
                  <c:v>42143</c:v>
                </c:pt>
                <c:pt idx="6">
                  <c:v>52507</c:v>
                </c:pt>
                <c:pt idx="7">
                  <c:v>30290</c:v>
                </c:pt>
                <c:pt idx="8">
                  <c:v>34381</c:v>
                </c:pt>
                <c:pt idx="9">
                  <c:v>33810</c:v>
                </c:pt>
                <c:pt idx="10">
                  <c:v>39218</c:v>
                </c:pt>
                <c:pt idx="11">
                  <c:v>39460</c:v>
                </c:pt>
              </c:numCache>
            </c:numRef>
          </c:val>
          <c:extLst>
            <c:ext xmlns:c16="http://schemas.microsoft.com/office/drawing/2014/chart" uri="{C3380CC4-5D6E-409C-BE32-E72D297353CC}">
              <c16:uniqueId val="{00000000-9EC4-4CAF-BFAE-133168355024}"/>
            </c:ext>
          </c:extLst>
        </c:ser>
        <c:dLbls>
          <c:showLegendKey val="0"/>
          <c:showVal val="0"/>
          <c:showCatName val="0"/>
          <c:showSerName val="0"/>
          <c:showPercent val="0"/>
          <c:showBubbleSize val="0"/>
        </c:dLbls>
        <c:gapWidth val="150"/>
        <c:shape val="box"/>
        <c:axId val="507418368"/>
        <c:axId val="507420288"/>
        <c:axId val="0"/>
      </c:bar3DChart>
      <c:catAx>
        <c:axId val="507418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420288"/>
        <c:crosses val="autoZero"/>
        <c:auto val="1"/>
        <c:lblAlgn val="ctr"/>
        <c:lblOffset val="100"/>
        <c:noMultiLvlLbl val="0"/>
      </c:catAx>
      <c:valAx>
        <c:axId val="5074202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41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[Excel_Project_Social_Media_Analytics.xlsx]Task 6!PivotTable64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6'!$B$3:$B$4</c:f>
              <c:strCache>
                <c:ptCount val="1"/>
                <c:pt idx="0">
                  <c:v>Facebook</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6'!$A$5:$A$9</c:f>
              <c:strCache>
                <c:ptCount val="5"/>
                <c:pt idx="0">
                  <c:v>01-07-2024</c:v>
                </c:pt>
                <c:pt idx="1">
                  <c:v>08-07-2024</c:v>
                </c:pt>
                <c:pt idx="2">
                  <c:v>15-07-2024</c:v>
                </c:pt>
                <c:pt idx="3">
                  <c:v>22-07-2024</c:v>
                </c:pt>
                <c:pt idx="4">
                  <c:v>29-07-2024</c:v>
                </c:pt>
              </c:strCache>
            </c:strRef>
          </c:cat>
          <c:val>
            <c:numRef>
              <c:f>'Task 6'!$B$5:$B$9</c:f>
              <c:numCache>
                <c:formatCode>0</c:formatCode>
                <c:ptCount val="5"/>
                <c:pt idx="0">
                  <c:v>505</c:v>
                </c:pt>
                <c:pt idx="1">
                  <c:v>350</c:v>
                </c:pt>
                <c:pt idx="2">
                  <c:v>170</c:v>
                </c:pt>
                <c:pt idx="3">
                  <c:v>1391</c:v>
                </c:pt>
                <c:pt idx="4">
                  <c:v>160</c:v>
                </c:pt>
              </c:numCache>
            </c:numRef>
          </c:val>
          <c:smooth val="0"/>
          <c:extLst>
            <c:ext xmlns:c16="http://schemas.microsoft.com/office/drawing/2014/chart" uri="{C3380CC4-5D6E-409C-BE32-E72D297353CC}">
              <c16:uniqueId val="{00000000-9E8B-474D-B6E4-A7025569B969}"/>
            </c:ext>
          </c:extLst>
        </c:ser>
        <c:ser>
          <c:idx val="1"/>
          <c:order val="1"/>
          <c:tx>
            <c:strRef>
              <c:f>'Task 6'!$C$3:$C$4</c:f>
              <c:strCache>
                <c:ptCount val="1"/>
                <c:pt idx="0">
                  <c:v>Instagram</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6'!$A$5:$A$9</c:f>
              <c:strCache>
                <c:ptCount val="5"/>
                <c:pt idx="0">
                  <c:v>01-07-2024</c:v>
                </c:pt>
                <c:pt idx="1">
                  <c:v>08-07-2024</c:v>
                </c:pt>
                <c:pt idx="2">
                  <c:v>15-07-2024</c:v>
                </c:pt>
                <c:pt idx="3">
                  <c:v>22-07-2024</c:v>
                </c:pt>
                <c:pt idx="4">
                  <c:v>29-07-2024</c:v>
                </c:pt>
              </c:strCache>
            </c:strRef>
          </c:cat>
          <c:val>
            <c:numRef>
              <c:f>'Task 6'!$C$5:$C$9</c:f>
              <c:numCache>
                <c:formatCode>0</c:formatCode>
                <c:ptCount val="5"/>
                <c:pt idx="0">
                  <c:v>226</c:v>
                </c:pt>
                <c:pt idx="1">
                  <c:v>1757</c:v>
                </c:pt>
                <c:pt idx="2">
                  <c:v>1960</c:v>
                </c:pt>
                <c:pt idx="3">
                  <c:v>508</c:v>
                </c:pt>
                <c:pt idx="4">
                  <c:v>653</c:v>
                </c:pt>
              </c:numCache>
            </c:numRef>
          </c:val>
          <c:smooth val="0"/>
          <c:extLst>
            <c:ext xmlns:c16="http://schemas.microsoft.com/office/drawing/2014/chart" uri="{C3380CC4-5D6E-409C-BE32-E72D297353CC}">
              <c16:uniqueId val="{00000001-9E8B-474D-B6E4-A7025569B969}"/>
            </c:ext>
          </c:extLst>
        </c:ser>
        <c:ser>
          <c:idx val="2"/>
          <c:order val="2"/>
          <c:tx>
            <c:strRef>
              <c:f>'Task 6'!$D$3:$D$4</c:f>
              <c:strCache>
                <c:ptCount val="1"/>
                <c:pt idx="0">
                  <c:v>Twitter</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6'!$A$5:$A$9</c:f>
              <c:strCache>
                <c:ptCount val="5"/>
                <c:pt idx="0">
                  <c:v>01-07-2024</c:v>
                </c:pt>
                <c:pt idx="1">
                  <c:v>08-07-2024</c:v>
                </c:pt>
                <c:pt idx="2">
                  <c:v>15-07-2024</c:v>
                </c:pt>
                <c:pt idx="3">
                  <c:v>22-07-2024</c:v>
                </c:pt>
                <c:pt idx="4">
                  <c:v>29-07-2024</c:v>
                </c:pt>
              </c:strCache>
            </c:strRef>
          </c:cat>
          <c:val>
            <c:numRef>
              <c:f>'Task 6'!$D$5:$D$9</c:f>
              <c:numCache>
                <c:formatCode>0</c:formatCode>
                <c:ptCount val="5"/>
                <c:pt idx="0">
                  <c:v>1420</c:v>
                </c:pt>
                <c:pt idx="1">
                  <c:v>987</c:v>
                </c:pt>
                <c:pt idx="2">
                  <c:v>704</c:v>
                </c:pt>
                <c:pt idx="3">
                  <c:v>1701</c:v>
                </c:pt>
                <c:pt idx="4">
                  <c:v>1756</c:v>
                </c:pt>
              </c:numCache>
            </c:numRef>
          </c:val>
          <c:smooth val="0"/>
          <c:extLst>
            <c:ext xmlns:c16="http://schemas.microsoft.com/office/drawing/2014/chart" uri="{C3380CC4-5D6E-409C-BE32-E72D297353CC}">
              <c16:uniqueId val="{00000002-9E8B-474D-B6E4-A7025569B969}"/>
            </c:ext>
          </c:extLst>
        </c:ser>
        <c:ser>
          <c:idx val="3"/>
          <c:order val="3"/>
          <c:tx>
            <c:strRef>
              <c:f>'Task 6'!$E$3:$E$4</c:f>
              <c:strCache>
                <c:ptCount val="1"/>
                <c:pt idx="0">
                  <c:v>YouTube</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6'!$A$5:$A$9</c:f>
              <c:strCache>
                <c:ptCount val="5"/>
                <c:pt idx="0">
                  <c:v>01-07-2024</c:v>
                </c:pt>
                <c:pt idx="1">
                  <c:v>08-07-2024</c:v>
                </c:pt>
                <c:pt idx="2">
                  <c:v>15-07-2024</c:v>
                </c:pt>
                <c:pt idx="3">
                  <c:v>22-07-2024</c:v>
                </c:pt>
                <c:pt idx="4">
                  <c:v>29-07-2024</c:v>
                </c:pt>
              </c:strCache>
            </c:strRef>
          </c:cat>
          <c:val>
            <c:numRef>
              <c:f>'Task 6'!$E$5:$E$9</c:f>
              <c:numCache>
                <c:formatCode>0</c:formatCode>
                <c:ptCount val="5"/>
                <c:pt idx="0">
                  <c:v>144</c:v>
                </c:pt>
                <c:pt idx="1">
                  <c:v>883</c:v>
                </c:pt>
                <c:pt idx="2">
                  <c:v>224</c:v>
                </c:pt>
                <c:pt idx="3">
                  <c:v>804</c:v>
                </c:pt>
                <c:pt idx="4">
                  <c:v>576</c:v>
                </c:pt>
              </c:numCache>
            </c:numRef>
          </c:val>
          <c:smooth val="0"/>
          <c:extLst>
            <c:ext xmlns:c16="http://schemas.microsoft.com/office/drawing/2014/chart" uri="{C3380CC4-5D6E-409C-BE32-E72D297353CC}">
              <c16:uniqueId val="{00000003-9E8B-474D-B6E4-A7025569B969}"/>
            </c:ext>
          </c:extLst>
        </c:ser>
        <c:dLbls>
          <c:dLblPos val="t"/>
          <c:showLegendKey val="0"/>
          <c:showVal val="1"/>
          <c:showCatName val="0"/>
          <c:showSerName val="0"/>
          <c:showPercent val="0"/>
          <c:showBubbleSize val="0"/>
        </c:dLbls>
        <c:smooth val="0"/>
        <c:axId val="1722485599"/>
        <c:axId val="1722486079"/>
      </c:lineChart>
      <c:catAx>
        <c:axId val="172248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86079"/>
        <c:crosses val="autoZero"/>
        <c:auto val="1"/>
        <c:lblAlgn val="ctr"/>
        <c:lblOffset val="100"/>
        <c:noMultiLvlLbl val="0"/>
      </c:catAx>
      <c:valAx>
        <c:axId val="172248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48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[Excel_Project_Social_Media_Analytics.xlsx]Task 6!PivotTable66</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6'!$B$77:$B$78</c:f>
              <c:strCache>
                <c:ptCount val="1"/>
                <c:pt idx="0">
                  <c:v>Facebook</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2"/>
            <c:dispRSqr val="0"/>
            <c:dispEq val="0"/>
          </c:trendline>
          <c:cat>
            <c:strRef>
              <c:f>'Task 6'!$A$79:$A$82</c:f>
              <c:strCache>
                <c:ptCount val="4"/>
                <c:pt idx="0">
                  <c:v>06-01-2025</c:v>
                </c:pt>
                <c:pt idx="1">
                  <c:v>13-01-2025</c:v>
                </c:pt>
                <c:pt idx="2">
                  <c:v>20-01-2025</c:v>
                </c:pt>
                <c:pt idx="3">
                  <c:v>27-01-2025</c:v>
                </c:pt>
              </c:strCache>
            </c:strRef>
          </c:cat>
          <c:val>
            <c:numRef>
              <c:f>'Task 6'!$B$79:$B$82</c:f>
              <c:numCache>
                <c:formatCode>General</c:formatCode>
                <c:ptCount val="4"/>
                <c:pt idx="0">
                  <c:v>95728</c:v>
                </c:pt>
                <c:pt idx="1">
                  <c:v>224699</c:v>
                </c:pt>
                <c:pt idx="2">
                  <c:v>479490</c:v>
                </c:pt>
                <c:pt idx="3">
                  <c:v>321307</c:v>
                </c:pt>
              </c:numCache>
            </c:numRef>
          </c:val>
          <c:smooth val="0"/>
          <c:extLst>
            <c:ext xmlns:c16="http://schemas.microsoft.com/office/drawing/2014/chart" uri="{C3380CC4-5D6E-409C-BE32-E72D297353CC}">
              <c16:uniqueId val="{00000000-9962-45F2-89EE-4DDEB283906E}"/>
            </c:ext>
          </c:extLst>
        </c:ser>
        <c:ser>
          <c:idx val="1"/>
          <c:order val="1"/>
          <c:tx>
            <c:strRef>
              <c:f>'Task 6'!$C$77:$C$78</c:f>
              <c:strCache>
                <c:ptCount val="1"/>
                <c:pt idx="0">
                  <c:v>Instagram</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movingAvg"/>
            <c:period val="2"/>
            <c:dispRSqr val="0"/>
            <c:dispEq val="0"/>
          </c:trendline>
          <c:cat>
            <c:strRef>
              <c:f>'Task 6'!$A$79:$A$82</c:f>
              <c:strCache>
                <c:ptCount val="4"/>
                <c:pt idx="0">
                  <c:v>06-01-2025</c:v>
                </c:pt>
                <c:pt idx="1">
                  <c:v>13-01-2025</c:v>
                </c:pt>
                <c:pt idx="2">
                  <c:v>20-01-2025</c:v>
                </c:pt>
                <c:pt idx="3">
                  <c:v>27-01-2025</c:v>
                </c:pt>
              </c:strCache>
            </c:strRef>
          </c:cat>
          <c:val>
            <c:numRef>
              <c:f>'Task 6'!$C$79:$C$82</c:f>
              <c:numCache>
                <c:formatCode>General</c:formatCode>
                <c:ptCount val="4"/>
                <c:pt idx="0">
                  <c:v>466382</c:v>
                </c:pt>
                <c:pt idx="1">
                  <c:v>349413</c:v>
                </c:pt>
                <c:pt idx="2">
                  <c:v>383681</c:v>
                </c:pt>
                <c:pt idx="3">
                  <c:v>357265</c:v>
                </c:pt>
              </c:numCache>
            </c:numRef>
          </c:val>
          <c:smooth val="0"/>
          <c:extLst>
            <c:ext xmlns:c16="http://schemas.microsoft.com/office/drawing/2014/chart" uri="{C3380CC4-5D6E-409C-BE32-E72D297353CC}">
              <c16:uniqueId val="{00000001-9962-45F2-89EE-4DDEB283906E}"/>
            </c:ext>
          </c:extLst>
        </c:ser>
        <c:ser>
          <c:idx val="2"/>
          <c:order val="2"/>
          <c:tx>
            <c:strRef>
              <c:f>'Task 6'!$D$77:$D$78</c:f>
              <c:strCache>
                <c:ptCount val="1"/>
                <c:pt idx="0">
                  <c:v>Twitter</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movingAvg"/>
            <c:period val="2"/>
            <c:dispRSqr val="0"/>
            <c:dispEq val="0"/>
          </c:trendline>
          <c:cat>
            <c:strRef>
              <c:f>'Task 6'!$A$79:$A$82</c:f>
              <c:strCache>
                <c:ptCount val="4"/>
                <c:pt idx="0">
                  <c:v>06-01-2025</c:v>
                </c:pt>
                <c:pt idx="1">
                  <c:v>13-01-2025</c:v>
                </c:pt>
                <c:pt idx="2">
                  <c:v>20-01-2025</c:v>
                </c:pt>
                <c:pt idx="3">
                  <c:v>27-01-2025</c:v>
                </c:pt>
              </c:strCache>
            </c:strRef>
          </c:cat>
          <c:val>
            <c:numRef>
              <c:f>'Task 6'!$D$79:$D$82</c:f>
              <c:numCache>
                <c:formatCode>General</c:formatCode>
                <c:ptCount val="4"/>
                <c:pt idx="0">
                  <c:v>371156</c:v>
                </c:pt>
                <c:pt idx="1">
                  <c:v>487896</c:v>
                </c:pt>
                <c:pt idx="2">
                  <c:v>124404</c:v>
                </c:pt>
                <c:pt idx="3">
                  <c:v>262569</c:v>
                </c:pt>
              </c:numCache>
            </c:numRef>
          </c:val>
          <c:smooth val="0"/>
          <c:extLst>
            <c:ext xmlns:c16="http://schemas.microsoft.com/office/drawing/2014/chart" uri="{C3380CC4-5D6E-409C-BE32-E72D297353CC}">
              <c16:uniqueId val="{00000002-9962-45F2-89EE-4DDEB283906E}"/>
            </c:ext>
          </c:extLst>
        </c:ser>
        <c:ser>
          <c:idx val="3"/>
          <c:order val="3"/>
          <c:tx>
            <c:strRef>
              <c:f>'Task 6'!$E$77:$E$78</c:f>
              <c:strCache>
                <c:ptCount val="1"/>
                <c:pt idx="0">
                  <c:v>YouTube</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movingAvg"/>
            <c:period val="2"/>
            <c:dispRSqr val="0"/>
            <c:dispEq val="0"/>
          </c:trendline>
          <c:cat>
            <c:strRef>
              <c:f>'Task 6'!$A$79:$A$82</c:f>
              <c:strCache>
                <c:ptCount val="4"/>
                <c:pt idx="0">
                  <c:v>06-01-2025</c:v>
                </c:pt>
                <c:pt idx="1">
                  <c:v>13-01-2025</c:v>
                </c:pt>
                <c:pt idx="2">
                  <c:v>20-01-2025</c:v>
                </c:pt>
                <c:pt idx="3">
                  <c:v>27-01-2025</c:v>
                </c:pt>
              </c:strCache>
            </c:strRef>
          </c:cat>
          <c:val>
            <c:numRef>
              <c:f>'Task 6'!$E$79:$E$82</c:f>
              <c:numCache>
                <c:formatCode>General</c:formatCode>
                <c:ptCount val="4"/>
                <c:pt idx="0">
                  <c:v>95410</c:v>
                </c:pt>
                <c:pt idx="1">
                  <c:v>14437</c:v>
                </c:pt>
                <c:pt idx="2">
                  <c:v>336949</c:v>
                </c:pt>
                <c:pt idx="3">
                  <c:v>461669</c:v>
                </c:pt>
              </c:numCache>
            </c:numRef>
          </c:val>
          <c:smooth val="0"/>
          <c:extLst>
            <c:ext xmlns:c16="http://schemas.microsoft.com/office/drawing/2014/chart" uri="{C3380CC4-5D6E-409C-BE32-E72D297353CC}">
              <c16:uniqueId val="{00000003-9962-45F2-89EE-4DDEB283906E}"/>
            </c:ext>
          </c:extLst>
        </c:ser>
        <c:dLbls>
          <c:showLegendKey val="0"/>
          <c:showVal val="0"/>
          <c:showCatName val="0"/>
          <c:showSerName val="0"/>
          <c:showPercent val="0"/>
          <c:showBubbleSize val="0"/>
        </c:dLbls>
        <c:smooth val="0"/>
        <c:axId val="431429407"/>
        <c:axId val="431429887"/>
      </c:lineChart>
      <c:catAx>
        <c:axId val="43142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429887"/>
        <c:crosses val="autoZero"/>
        <c:auto val="1"/>
        <c:lblAlgn val="ctr"/>
        <c:lblOffset val="100"/>
        <c:noMultiLvlLbl val="0"/>
      </c:catAx>
      <c:valAx>
        <c:axId val="43142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42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AD</a:t>
            </a:r>
            <a:r>
              <a:rPr lang="en-US" baseline="0"/>
              <a:t> </a:t>
            </a:r>
            <a:r>
              <a:rPr lang="en-US"/>
              <a:t>spend and Follower growth</a:t>
            </a:r>
          </a:p>
        </c:rich>
      </c:tx>
      <c:layout>
        <c:manualLayout>
          <c:xMode val="edge"/>
          <c:yMode val="edge"/>
          <c:x val="8.401377952755904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287854436697616"/>
          <c:y val="0.16583924349881796"/>
          <c:w val="0.81230011446807038"/>
          <c:h val="0.67890737948536573"/>
        </c:manualLayout>
      </c:layout>
      <c:scatterChart>
        <c:scatterStyle val="lineMarker"/>
        <c:varyColors val="0"/>
        <c:ser>
          <c:idx val="0"/>
          <c:order val="0"/>
          <c:tx>
            <c:v>Adspend_NewFollowers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2">
                    <a:lumMod val="75000"/>
                  </a:schemeClr>
                </a:solidFill>
                <a:prstDash val="solid"/>
              </a:ln>
              <a:effectLst>
                <a:outerShdw blurRad="50800" dist="50800" dir="5400000" algn="ctr" rotWithShape="0">
                  <a:schemeClr val="accent2">
                    <a:lumMod val="75000"/>
                    <a:alpha val="92000"/>
                  </a:schemeClr>
                </a:outerShdw>
              </a:effectLst>
            </c:spPr>
            <c:trendlineType val="linear"/>
            <c:dispRSqr val="0"/>
            <c:dispEq val="0"/>
          </c:trendline>
          <c:xVal>
            <c:numRef>
              <c:f>'Engagement Summary'!$G$2:$G$201</c:f>
              <c:numCache>
                <c:formatCode>0</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xVal>
          <c:yVal>
            <c:numRef>
              <c:f>'Engagement Summary'!$C$2:$C$201</c:f>
              <c:numCache>
                <c:formatCode>0</c:formatCode>
                <c:ptCount val="200"/>
                <c:pt idx="0">
                  <c:v>1135</c:v>
                </c:pt>
                <c:pt idx="1">
                  <c:v>1312</c:v>
                </c:pt>
                <c:pt idx="2">
                  <c:v>584</c:v>
                </c:pt>
                <c:pt idx="3">
                  <c:v>1535</c:v>
                </c:pt>
                <c:pt idx="4">
                  <c:v>656</c:v>
                </c:pt>
                <c:pt idx="5">
                  <c:v>1697</c:v>
                </c:pt>
                <c:pt idx="6">
                  <c:v>436</c:v>
                </c:pt>
                <c:pt idx="7">
                  <c:v>1197</c:v>
                </c:pt>
                <c:pt idx="8">
                  <c:v>1048</c:v>
                </c:pt>
                <c:pt idx="9">
                  <c:v>1753</c:v>
                </c:pt>
                <c:pt idx="10">
                  <c:v>1335</c:v>
                </c:pt>
                <c:pt idx="11">
                  <c:v>403</c:v>
                </c:pt>
                <c:pt idx="12">
                  <c:v>911</c:v>
                </c:pt>
                <c:pt idx="13">
                  <c:v>1779</c:v>
                </c:pt>
                <c:pt idx="14">
                  <c:v>1238</c:v>
                </c:pt>
                <c:pt idx="15">
                  <c:v>308</c:v>
                </c:pt>
                <c:pt idx="16">
                  <c:v>226</c:v>
                </c:pt>
                <c:pt idx="17">
                  <c:v>505</c:v>
                </c:pt>
                <c:pt idx="18">
                  <c:v>1420</c:v>
                </c:pt>
                <c:pt idx="19">
                  <c:v>144</c:v>
                </c:pt>
                <c:pt idx="20">
                  <c:v>1757</c:v>
                </c:pt>
                <c:pt idx="21">
                  <c:v>350</c:v>
                </c:pt>
                <c:pt idx="22">
                  <c:v>987</c:v>
                </c:pt>
                <c:pt idx="23">
                  <c:v>883</c:v>
                </c:pt>
                <c:pt idx="24">
                  <c:v>1960</c:v>
                </c:pt>
                <c:pt idx="25">
                  <c:v>170</c:v>
                </c:pt>
                <c:pt idx="26">
                  <c:v>704</c:v>
                </c:pt>
                <c:pt idx="27">
                  <c:v>224</c:v>
                </c:pt>
                <c:pt idx="28">
                  <c:v>508</c:v>
                </c:pt>
                <c:pt idx="29">
                  <c:v>1391</c:v>
                </c:pt>
                <c:pt idx="30">
                  <c:v>1701</c:v>
                </c:pt>
                <c:pt idx="31">
                  <c:v>804</c:v>
                </c:pt>
                <c:pt idx="32">
                  <c:v>653</c:v>
                </c:pt>
                <c:pt idx="33">
                  <c:v>160</c:v>
                </c:pt>
                <c:pt idx="34">
                  <c:v>1756</c:v>
                </c:pt>
                <c:pt idx="35">
                  <c:v>576</c:v>
                </c:pt>
                <c:pt idx="36">
                  <c:v>645</c:v>
                </c:pt>
                <c:pt idx="37">
                  <c:v>214</c:v>
                </c:pt>
                <c:pt idx="38">
                  <c:v>826</c:v>
                </c:pt>
                <c:pt idx="39">
                  <c:v>460</c:v>
                </c:pt>
                <c:pt idx="40">
                  <c:v>1528</c:v>
                </c:pt>
                <c:pt idx="41">
                  <c:v>1534</c:v>
                </c:pt>
                <c:pt idx="42">
                  <c:v>485</c:v>
                </c:pt>
                <c:pt idx="43">
                  <c:v>1210</c:v>
                </c:pt>
                <c:pt idx="44">
                  <c:v>215</c:v>
                </c:pt>
                <c:pt idx="45">
                  <c:v>1078</c:v>
                </c:pt>
                <c:pt idx="46">
                  <c:v>1751</c:v>
                </c:pt>
                <c:pt idx="47">
                  <c:v>221</c:v>
                </c:pt>
                <c:pt idx="48">
                  <c:v>1685</c:v>
                </c:pt>
                <c:pt idx="49">
                  <c:v>248</c:v>
                </c:pt>
                <c:pt idx="50">
                  <c:v>1300</c:v>
                </c:pt>
                <c:pt idx="51">
                  <c:v>422</c:v>
                </c:pt>
                <c:pt idx="52">
                  <c:v>1429</c:v>
                </c:pt>
                <c:pt idx="53">
                  <c:v>1520</c:v>
                </c:pt>
                <c:pt idx="54">
                  <c:v>557</c:v>
                </c:pt>
                <c:pt idx="55">
                  <c:v>728</c:v>
                </c:pt>
                <c:pt idx="56">
                  <c:v>1592</c:v>
                </c:pt>
                <c:pt idx="57">
                  <c:v>1842</c:v>
                </c:pt>
                <c:pt idx="58">
                  <c:v>751</c:v>
                </c:pt>
                <c:pt idx="59">
                  <c:v>1409</c:v>
                </c:pt>
                <c:pt idx="60">
                  <c:v>778</c:v>
                </c:pt>
                <c:pt idx="61">
                  <c:v>443</c:v>
                </c:pt>
                <c:pt idx="62">
                  <c:v>1472</c:v>
                </c:pt>
                <c:pt idx="63">
                  <c:v>123</c:v>
                </c:pt>
                <c:pt idx="64">
                  <c:v>817</c:v>
                </c:pt>
                <c:pt idx="65">
                  <c:v>198</c:v>
                </c:pt>
                <c:pt idx="66">
                  <c:v>1911</c:v>
                </c:pt>
                <c:pt idx="67">
                  <c:v>1218</c:v>
                </c:pt>
                <c:pt idx="68">
                  <c:v>1433</c:v>
                </c:pt>
                <c:pt idx="69">
                  <c:v>250</c:v>
                </c:pt>
                <c:pt idx="70">
                  <c:v>752</c:v>
                </c:pt>
                <c:pt idx="71">
                  <c:v>1918</c:v>
                </c:pt>
                <c:pt idx="72">
                  <c:v>1939</c:v>
                </c:pt>
                <c:pt idx="73">
                  <c:v>1929</c:v>
                </c:pt>
                <c:pt idx="74">
                  <c:v>437</c:v>
                </c:pt>
                <c:pt idx="75">
                  <c:v>307</c:v>
                </c:pt>
                <c:pt idx="76">
                  <c:v>1527</c:v>
                </c:pt>
                <c:pt idx="77">
                  <c:v>643</c:v>
                </c:pt>
                <c:pt idx="78">
                  <c:v>201</c:v>
                </c:pt>
                <c:pt idx="79">
                  <c:v>414</c:v>
                </c:pt>
                <c:pt idx="80">
                  <c:v>703</c:v>
                </c:pt>
                <c:pt idx="81">
                  <c:v>508</c:v>
                </c:pt>
                <c:pt idx="82">
                  <c:v>697</c:v>
                </c:pt>
                <c:pt idx="83">
                  <c:v>1707</c:v>
                </c:pt>
                <c:pt idx="84">
                  <c:v>642</c:v>
                </c:pt>
                <c:pt idx="85">
                  <c:v>859</c:v>
                </c:pt>
                <c:pt idx="86">
                  <c:v>191</c:v>
                </c:pt>
                <c:pt idx="87">
                  <c:v>1814</c:v>
                </c:pt>
                <c:pt idx="88">
                  <c:v>1466</c:v>
                </c:pt>
                <c:pt idx="89">
                  <c:v>947</c:v>
                </c:pt>
                <c:pt idx="90">
                  <c:v>1821</c:v>
                </c:pt>
                <c:pt idx="91">
                  <c:v>1507</c:v>
                </c:pt>
                <c:pt idx="92">
                  <c:v>1075</c:v>
                </c:pt>
                <c:pt idx="93">
                  <c:v>171</c:v>
                </c:pt>
                <c:pt idx="94">
                  <c:v>1487</c:v>
                </c:pt>
                <c:pt idx="95">
                  <c:v>454</c:v>
                </c:pt>
                <c:pt idx="96">
                  <c:v>187</c:v>
                </c:pt>
                <c:pt idx="97">
                  <c:v>513</c:v>
                </c:pt>
                <c:pt idx="98">
                  <c:v>628</c:v>
                </c:pt>
                <c:pt idx="99">
                  <c:v>278</c:v>
                </c:pt>
                <c:pt idx="100">
                  <c:v>1854</c:v>
                </c:pt>
                <c:pt idx="101">
                  <c:v>1710</c:v>
                </c:pt>
                <c:pt idx="102">
                  <c:v>330</c:v>
                </c:pt>
                <c:pt idx="103">
                  <c:v>1293</c:v>
                </c:pt>
                <c:pt idx="104">
                  <c:v>1696</c:v>
                </c:pt>
                <c:pt idx="105">
                  <c:v>1902</c:v>
                </c:pt>
                <c:pt idx="106">
                  <c:v>1441</c:v>
                </c:pt>
                <c:pt idx="107">
                  <c:v>452</c:v>
                </c:pt>
                <c:pt idx="108">
                  <c:v>1494</c:v>
                </c:pt>
                <c:pt idx="109">
                  <c:v>1514</c:v>
                </c:pt>
                <c:pt idx="110">
                  <c:v>1937</c:v>
                </c:pt>
                <c:pt idx="111">
                  <c:v>736</c:v>
                </c:pt>
                <c:pt idx="112">
                  <c:v>1502</c:v>
                </c:pt>
                <c:pt idx="113">
                  <c:v>1623</c:v>
                </c:pt>
                <c:pt idx="114">
                  <c:v>1592</c:v>
                </c:pt>
                <c:pt idx="115">
                  <c:v>1004</c:v>
                </c:pt>
                <c:pt idx="116">
                  <c:v>1092</c:v>
                </c:pt>
                <c:pt idx="117">
                  <c:v>1155</c:v>
                </c:pt>
                <c:pt idx="118">
                  <c:v>1137</c:v>
                </c:pt>
                <c:pt idx="119">
                  <c:v>1900</c:v>
                </c:pt>
                <c:pt idx="120">
                  <c:v>1814</c:v>
                </c:pt>
                <c:pt idx="121">
                  <c:v>1980</c:v>
                </c:pt>
                <c:pt idx="122">
                  <c:v>1786</c:v>
                </c:pt>
                <c:pt idx="123">
                  <c:v>1495</c:v>
                </c:pt>
                <c:pt idx="124">
                  <c:v>1013</c:v>
                </c:pt>
                <c:pt idx="125">
                  <c:v>816</c:v>
                </c:pt>
                <c:pt idx="126">
                  <c:v>1633</c:v>
                </c:pt>
                <c:pt idx="127">
                  <c:v>891</c:v>
                </c:pt>
                <c:pt idx="128">
                  <c:v>1855</c:v>
                </c:pt>
                <c:pt idx="129">
                  <c:v>651</c:v>
                </c:pt>
                <c:pt idx="130">
                  <c:v>118</c:v>
                </c:pt>
                <c:pt idx="131">
                  <c:v>1331</c:v>
                </c:pt>
                <c:pt idx="132">
                  <c:v>1748</c:v>
                </c:pt>
                <c:pt idx="133">
                  <c:v>663</c:v>
                </c:pt>
                <c:pt idx="134">
                  <c:v>1040</c:v>
                </c:pt>
                <c:pt idx="135">
                  <c:v>1166</c:v>
                </c:pt>
                <c:pt idx="136">
                  <c:v>115</c:v>
                </c:pt>
                <c:pt idx="137">
                  <c:v>1249</c:v>
                </c:pt>
                <c:pt idx="138">
                  <c:v>1501</c:v>
                </c:pt>
                <c:pt idx="139">
                  <c:v>1411</c:v>
                </c:pt>
                <c:pt idx="140">
                  <c:v>1556</c:v>
                </c:pt>
                <c:pt idx="141">
                  <c:v>1159</c:v>
                </c:pt>
                <c:pt idx="142">
                  <c:v>927</c:v>
                </c:pt>
                <c:pt idx="143">
                  <c:v>152</c:v>
                </c:pt>
                <c:pt idx="144">
                  <c:v>1957</c:v>
                </c:pt>
                <c:pt idx="145">
                  <c:v>1294</c:v>
                </c:pt>
                <c:pt idx="146">
                  <c:v>1587</c:v>
                </c:pt>
                <c:pt idx="147">
                  <c:v>1707</c:v>
                </c:pt>
                <c:pt idx="148">
                  <c:v>1138</c:v>
                </c:pt>
                <c:pt idx="149">
                  <c:v>1895</c:v>
                </c:pt>
                <c:pt idx="150">
                  <c:v>362</c:v>
                </c:pt>
                <c:pt idx="151">
                  <c:v>1662</c:v>
                </c:pt>
                <c:pt idx="152">
                  <c:v>1440</c:v>
                </c:pt>
                <c:pt idx="153">
                  <c:v>1884</c:v>
                </c:pt>
                <c:pt idx="154">
                  <c:v>861</c:v>
                </c:pt>
                <c:pt idx="155">
                  <c:v>1063</c:v>
                </c:pt>
                <c:pt idx="156">
                  <c:v>1371</c:v>
                </c:pt>
                <c:pt idx="157">
                  <c:v>345</c:v>
                </c:pt>
                <c:pt idx="158">
                  <c:v>946</c:v>
                </c:pt>
                <c:pt idx="159">
                  <c:v>510</c:v>
                </c:pt>
                <c:pt idx="160">
                  <c:v>393</c:v>
                </c:pt>
                <c:pt idx="161">
                  <c:v>1098</c:v>
                </c:pt>
                <c:pt idx="162">
                  <c:v>1399</c:v>
                </c:pt>
                <c:pt idx="163">
                  <c:v>1658</c:v>
                </c:pt>
                <c:pt idx="164">
                  <c:v>1102</c:v>
                </c:pt>
                <c:pt idx="165">
                  <c:v>1358</c:v>
                </c:pt>
                <c:pt idx="166">
                  <c:v>1077</c:v>
                </c:pt>
                <c:pt idx="167">
                  <c:v>1596</c:v>
                </c:pt>
                <c:pt idx="168">
                  <c:v>490</c:v>
                </c:pt>
                <c:pt idx="169">
                  <c:v>609</c:v>
                </c:pt>
                <c:pt idx="170">
                  <c:v>364</c:v>
                </c:pt>
                <c:pt idx="171">
                  <c:v>442</c:v>
                </c:pt>
                <c:pt idx="172">
                  <c:v>1033</c:v>
                </c:pt>
                <c:pt idx="173">
                  <c:v>988</c:v>
                </c:pt>
                <c:pt idx="174">
                  <c:v>1946</c:v>
                </c:pt>
                <c:pt idx="175">
                  <c:v>1957</c:v>
                </c:pt>
                <c:pt idx="176">
                  <c:v>559</c:v>
                </c:pt>
                <c:pt idx="177">
                  <c:v>1307</c:v>
                </c:pt>
                <c:pt idx="178">
                  <c:v>1432</c:v>
                </c:pt>
                <c:pt idx="179">
                  <c:v>623</c:v>
                </c:pt>
                <c:pt idx="180">
                  <c:v>198</c:v>
                </c:pt>
                <c:pt idx="181">
                  <c:v>198</c:v>
                </c:pt>
                <c:pt idx="182">
                  <c:v>353</c:v>
                </c:pt>
                <c:pt idx="183">
                  <c:v>520</c:v>
                </c:pt>
                <c:pt idx="184">
                  <c:v>961</c:v>
                </c:pt>
                <c:pt idx="185">
                  <c:v>1375</c:v>
                </c:pt>
                <c:pt idx="186">
                  <c:v>1147</c:v>
                </c:pt>
                <c:pt idx="187">
                  <c:v>1707</c:v>
                </c:pt>
                <c:pt idx="188">
                  <c:v>1693</c:v>
                </c:pt>
                <c:pt idx="189">
                  <c:v>833</c:v>
                </c:pt>
                <c:pt idx="190">
                  <c:v>1222</c:v>
                </c:pt>
                <c:pt idx="191">
                  <c:v>777</c:v>
                </c:pt>
                <c:pt idx="192">
                  <c:v>1957</c:v>
                </c:pt>
                <c:pt idx="193">
                  <c:v>405</c:v>
                </c:pt>
                <c:pt idx="194">
                  <c:v>1581</c:v>
                </c:pt>
                <c:pt idx="195">
                  <c:v>1035</c:v>
                </c:pt>
                <c:pt idx="196">
                  <c:v>1765</c:v>
                </c:pt>
                <c:pt idx="197">
                  <c:v>837</c:v>
                </c:pt>
                <c:pt idx="198">
                  <c:v>337</c:v>
                </c:pt>
                <c:pt idx="199">
                  <c:v>119</c:v>
                </c:pt>
              </c:numCache>
            </c:numRef>
          </c:yVal>
          <c:smooth val="0"/>
          <c:extLst>
            <c:ext xmlns:c16="http://schemas.microsoft.com/office/drawing/2014/chart" uri="{C3380CC4-5D6E-409C-BE32-E72D297353CC}">
              <c16:uniqueId val="{00000002-9B5A-4EC2-8259-1C5699AD8E15}"/>
            </c:ext>
          </c:extLst>
        </c:ser>
        <c:dLbls>
          <c:dLblPos val="t"/>
          <c:showLegendKey val="0"/>
          <c:showVal val="0"/>
          <c:showCatName val="0"/>
          <c:showSerName val="0"/>
          <c:showPercent val="0"/>
          <c:showBubbleSize val="0"/>
        </c:dLbls>
        <c:axId val="166636016"/>
        <c:axId val="166636496"/>
      </c:scatterChart>
      <c:valAx>
        <c:axId val="166636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Ad_Spend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36496"/>
        <c:crosses val="autoZero"/>
        <c:crossBetween val="midCat"/>
      </c:valAx>
      <c:valAx>
        <c:axId val="166636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New_Followers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36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472440</xdr:colOff>
      <xdr:row>11</xdr:row>
      <xdr:rowOff>30480</xdr:rowOff>
    </xdr:from>
    <xdr:to>
      <xdr:col>8</xdr:col>
      <xdr:colOff>381000</xdr:colOff>
      <xdr:row>26</xdr:row>
      <xdr:rowOff>30480</xdr:rowOff>
    </xdr:to>
    <xdr:graphicFrame macro="">
      <xdr:nvGraphicFramePr>
        <xdr:cNvPr id="5" name="Chart 4">
          <a:extLst>
            <a:ext uri="{FF2B5EF4-FFF2-40B4-BE49-F238E27FC236}">
              <a16:creationId xmlns:a16="http://schemas.microsoft.com/office/drawing/2014/main" id="{762EFBF7-8037-FEF0-D38F-8696FAC73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1333500</xdr:colOff>
      <xdr:row>27</xdr:row>
      <xdr:rowOff>186690</xdr:rowOff>
    </xdr:from>
    <xdr:to>
      <xdr:col>13</xdr:col>
      <xdr:colOff>281940</xdr:colOff>
      <xdr:row>42</xdr:row>
      <xdr:rowOff>163830</xdr:rowOff>
    </xdr:to>
    <xdr:graphicFrame macro="">
      <xdr:nvGraphicFramePr>
        <xdr:cNvPr id="9" name="Chart 8">
          <a:extLst>
            <a:ext uri="{FF2B5EF4-FFF2-40B4-BE49-F238E27FC236}">
              <a16:creationId xmlns:a16="http://schemas.microsoft.com/office/drawing/2014/main" id="{01773D0D-9DED-CC7D-3C07-1F8140312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45</xdr:row>
      <xdr:rowOff>30480</xdr:rowOff>
    </xdr:from>
    <xdr:to>
      <xdr:col>11</xdr:col>
      <xdr:colOff>342900</xdr:colOff>
      <xdr:row>73</xdr:row>
      <xdr:rowOff>91440</xdr:rowOff>
    </xdr:to>
    <xdr:graphicFrame macro="">
      <xdr:nvGraphicFramePr>
        <xdr:cNvPr id="2" name="Chart 1">
          <a:extLst>
            <a:ext uri="{FF2B5EF4-FFF2-40B4-BE49-F238E27FC236}">
              <a16:creationId xmlns:a16="http://schemas.microsoft.com/office/drawing/2014/main" id="{185695FF-17BA-08D4-3682-ACAE32C246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24</xdr:row>
      <xdr:rowOff>80010</xdr:rowOff>
    </xdr:from>
    <xdr:to>
      <xdr:col>10</xdr:col>
      <xdr:colOff>365760</xdr:colOff>
      <xdr:row>40</xdr:row>
      <xdr:rowOff>167640</xdr:rowOff>
    </xdr:to>
    <xdr:graphicFrame macro="">
      <xdr:nvGraphicFramePr>
        <xdr:cNvPr id="4" name="Chart 3">
          <a:extLst>
            <a:ext uri="{FF2B5EF4-FFF2-40B4-BE49-F238E27FC236}">
              <a16:creationId xmlns:a16="http://schemas.microsoft.com/office/drawing/2014/main" id="{2E49224C-BDDE-EC51-9159-AC6E11361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905883</xdr:colOff>
      <xdr:row>0</xdr:row>
      <xdr:rowOff>197672</xdr:rowOff>
    </xdr:from>
    <xdr:to>
      <xdr:col>7</xdr:col>
      <xdr:colOff>1309743</xdr:colOff>
      <xdr:row>14</xdr:row>
      <xdr:rowOff>32161</xdr:rowOff>
    </xdr:to>
    <mc:AlternateContent xmlns:mc="http://schemas.openxmlformats.org/markup-compatibility/2006">
      <mc:Choice xmlns:a14="http://schemas.microsoft.com/office/drawing/2010/main" Requires="a14">
        <xdr:graphicFrame macro="">
          <xdr:nvGraphicFramePr>
            <xdr:cNvPr id="4" name="Months (Week_Start_Date)">
              <a:extLst>
                <a:ext uri="{FF2B5EF4-FFF2-40B4-BE49-F238E27FC236}">
                  <a16:creationId xmlns:a16="http://schemas.microsoft.com/office/drawing/2014/main" id="{FA9F3CE2-4A90-A4C9-4790-98B3B0A0EC57}"/>
                </a:ext>
              </a:extLst>
            </xdr:cNvPr>
            <xdr:cNvGraphicFramePr/>
          </xdr:nvGraphicFramePr>
          <xdr:xfrm>
            <a:off x="0" y="0"/>
            <a:ext cx="0" cy="0"/>
          </xdr:xfrm>
          <a:graphic>
            <a:graphicData uri="http://schemas.microsoft.com/office/drawing/2010/slicer">
              <sle:slicer xmlns:sle="http://schemas.microsoft.com/office/drawing/2010/slicer" name="Months (Week_Start_Date)"/>
            </a:graphicData>
          </a:graphic>
        </xdr:graphicFrame>
      </mc:Choice>
      <mc:Fallback>
        <xdr:sp macro="" textlink="">
          <xdr:nvSpPr>
            <xdr:cNvPr id="0" name=""/>
            <xdr:cNvSpPr>
              <a:spLocks noTextEdit="1"/>
            </xdr:cNvSpPr>
          </xdr:nvSpPr>
          <xdr:spPr>
            <a:xfrm>
              <a:off x="7702923" y="197672"/>
              <a:ext cx="1828800" cy="2463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2023334</xdr:colOff>
      <xdr:row>0</xdr:row>
      <xdr:rowOff>66339</xdr:rowOff>
    </xdr:from>
    <xdr:to>
      <xdr:col>15</xdr:col>
      <xdr:colOff>270734</xdr:colOff>
      <xdr:row>19</xdr:row>
      <xdr:rowOff>138505</xdr:rowOff>
    </xdr:to>
    <xdr:graphicFrame macro="">
      <xdr:nvGraphicFramePr>
        <xdr:cNvPr id="5" name="Chart 4">
          <a:extLst>
            <a:ext uri="{FF2B5EF4-FFF2-40B4-BE49-F238E27FC236}">
              <a16:creationId xmlns:a16="http://schemas.microsoft.com/office/drawing/2014/main" id="{79B8CBB2-A8D4-0CFD-4759-347D5A01D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76200</xdr:colOff>
      <xdr:row>76</xdr:row>
      <xdr:rowOff>15240</xdr:rowOff>
    </xdr:from>
    <xdr:to>
      <xdr:col>5</xdr:col>
      <xdr:colOff>1896932</xdr:colOff>
      <xdr:row>89</xdr:row>
      <xdr:rowOff>104775</xdr:rowOff>
    </xdr:to>
    <mc:AlternateContent xmlns:mc="http://schemas.openxmlformats.org/markup-compatibility/2006">
      <mc:Choice xmlns:a14="http://schemas.microsoft.com/office/drawing/2010/main" Requires="a14">
        <xdr:graphicFrame macro="">
          <xdr:nvGraphicFramePr>
            <xdr:cNvPr id="6" name="Months (Week_Start_Date) 1">
              <a:extLst>
                <a:ext uri="{FF2B5EF4-FFF2-40B4-BE49-F238E27FC236}">
                  <a16:creationId xmlns:a16="http://schemas.microsoft.com/office/drawing/2014/main" id="{5006DBE1-659C-7D78-2D75-C3566C8668EC}"/>
                </a:ext>
              </a:extLst>
            </xdr:cNvPr>
            <xdr:cNvGraphicFramePr/>
          </xdr:nvGraphicFramePr>
          <xdr:xfrm>
            <a:off x="0" y="0"/>
            <a:ext cx="0" cy="0"/>
          </xdr:xfrm>
          <a:graphic>
            <a:graphicData uri="http://schemas.microsoft.com/office/drawing/2010/slicer">
              <sle:slicer xmlns:sle="http://schemas.microsoft.com/office/drawing/2010/slicer" name="Months (Week_Start_Date) 1"/>
            </a:graphicData>
          </a:graphic>
        </xdr:graphicFrame>
      </mc:Choice>
      <mc:Fallback>
        <xdr:sp macro="" textlink="">
          <xdr:nvSpPr>
            <xdr:cNvPr id="0" name=""/>
            <xdr:cNvSpPr>
              <a:spLocks noTextEdit="1"/>
            </xdr:cNvSpPr>
          </xdr:nvSpPr>
          <xdr:spPr>
            <a:xfrm>
              <a:off x="4274820" y="14135100"/>
              <a:ext cx="1820732"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259080</xdr:colOff>
      <xdr:row>75</xdr:row>
      <xdr:rowOff>95250</xdr:rowOff>
    </xdr:from>
    <xdr:to>
      <xdr:col>9</xdr:col>
      <xdr:colOff>198120</xdr:colOff>
      <xdr:row>92</xdr:row>
      <xdr:rowOff>45720</xdr:rowOff>
    </xdr:to>
    <xdr:graphicFrame macro="">
      <xdr:nvGraphicFramePr>
        <xdr:cNvPr id="13" name="Chart 12">
          <a:extLst>
            <a:ext uri="{FF2B5EF4-FFF2-40B4-BE49-F238E27FC236}">
              <a16:creationId xmlns:a16="http://schemas.microsoft.com/office/drawing/2014/main" id="{C4DFF881-24C1-EDFD-340E-5B4264F27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975360</xdr:colOff>
      <xdr:row>105</xdr:row>
      <xdr:rowOff>22860</xdr:rowOff>
    </xdr:from>
    <xdr:to>
      <xdr:col>5</xdr:col>
      <xdr:colOff>1965960</xdr:colOff>
      <xdr:row>122</xdr:row>
      <xdr:rowOff>137160</xdr:rowOff>
    </xdr:to>
    <xdr:graphicFrame macro="">
      <xdr:nvGraphicFramePr>
        <xdr:cNvPr id="14" name="Chart 13">
          <a:extLst>
            <a:ext uri="{FF2B5EF4-FFF2-40B4-BE49-F238E27FC236}">
              <a16:creationId xmlns:a16="http://schemas.microsoft.com/office/drawing/2014/main" id="{C4F9E330-4C4B-3179-5EE1-9B03427DF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tula" refreshedDate="45893.536312384262" createdVersion="8" refreshedVersion="8" minRefreshableVersion="3" recordCount="298" xr:uid="{14A8654A-DE92-4038-AC23-6F431317150D}">
  <cacheSource type="worksheet">
    <worksheetSource ref="A1:Q299" sheet="Posts"/>
  </cacheSource>
  <cacheFields count="17">
    <cacheField name="Post ID" numFmtId="0">
      <sharedItems/>
    </cacheField>
    <cacheField name="Platform" numFmtId="0">
      <sharedItems count="4">
        <s v="Twitter"/>
        <s v="YouTube"/>
        <s v="Instagram"/>
        <s v="Facebook"/>
      </sharedItems>
    </cacheField>
    <cacheField name="Date" numFmtId="14">
      <sharedItems/>
    </cacheField>
    <cacheField name="Content Type" numFmtId="0">
      <sharedItems count="6">
        <s v="Reel"/>
        <s v="Text"/>
        <s v="Story"/>
        <s v="Carousel"/>
        <s v="Image"/>
        <s v="Video"/>
      </sharedItems>
    </cacheField>
    <cacheField name="Post Text" numFmtId="49">
      <sharedItems/>
    </cacheField>
    <cacheField name="Likes" numFmtId="1">
      <sharedItems containsSemiMixedTypes="0" containsString="0" containsNumber="1" containsInteger="1" minValue="53" maxValue="4941" count="291">
        <n v="1461"/>
        <n v="4054"/>
        <n v="2795"/>
        <n v="2404"/>
        <n v="3557"/>
        <n v="2945"/>
        <n v="3860"/>
        <n v="3929"/>
        <n v="3784"/>
        <n v="4241"/>
        <n v="1792"/>
        <n v="1946"/>
        <n v="1171"/>
        <n v="4242"/>
        <n v="3888"/>
        <n v="3452"/>
        <n v="4441"/>
        <n v="3000"/>
        <n v="1071"/>
        <n v="4838"/>
        <n v="1570"/>
        <n v="1606"/>
        <n v="3961"/>
        <n v="3128"/>
        <n v="3009"/>
        <n v="2076"/>
        <n v="432"/>
        <n v="2566"/>
        <n v="3095"/>
        <n v="438"/>
        <n v="2278"/>
        <n v="1407"/>
        <n v="1652"/>
        <n v="3775"/>
        <n v="4518"/>
        <n v="3024"/>
        <n v="3138"/>
        <n v="3564"/>
        <n v="4750"/>
        <n v="456"/>
        <n v="1543"/>
        <n v="2174"/>
        <n v="2358"/>
        <n v="3371"/>
        <n v="1108"/>
        <n v="2704"/>
        <n v="1950"/>
        <n v="2164"/>
        <n v="2754"/>
        <n v="2200"/>
        <n v="947"/>
        <n v="804"/>
        <n v="1686"/>
        <n v="1226"/>
        <n v="2946"/>
        <n v="2825"/>
        <n v="103"/>
        <n v="2180"/>
        <n v="904"/>
        <n v="4886"/>
        <n v="53"/>
        <n v="4507"/>
        <n v="2878"/>
        <n v="1881"/>
        <n v="4712"/>
        <n v="2610"/>
        <n v="1292"/>
        <n v="199"/>
        <n v="2551"/>
        <n v="296"/>
        <n v="4126"/>
        <n v="1855"/>
        <n v="1674"/>
        <n v="1121"/>
        <n v="1249"/>
        <n v="954"/>
        <n v="3068"/>
        <n v="2103"/>
        <n v="1816"/>
        <n v="725"/>
        <n v="1094"/>
        <n v="1841"/>
        <n v="4177"/>
        <n v="3428"/>
        <n v="1436"/>
        <n v="302"/>
        <n v="2214"/>
        <n v="3861"/>
        <n v="1263"/>
        <n v="3801"/>
        <n v="1431"/>
        <n v="2647"/>
        <n v="3182"/>
        <n v="1238"/>
        <n v="4739"/>
        <n v="4171"/>
        <n v="1766"/>
        <n v="4450"/>
        <n v="1000"/>
        <n v="3689"/>
        <n v="3655"/>
        <n v="498"/>
        <n v="4619"/>
        <n v="4832"/>
        <n v="4050"/>
        <n v="3649"/>
        <n v="3523"/>
        <n v="2719"/>
        <n v="1957"/>
        <n v="4419"/>
        <n v="4000"/>
        <n v="2493"/>
        <n v="3704"/>
        <n v="4551"/>
        <n v="1970"/>
        <n v="780"/>
        <n v="3432"/>
        <n v="4363"/>
        <n v="736"/>
        <n v="3811"/>
        <n v="4158"/>
        <n v="2147"/>
        <n v="2936"/>
        <n v="4840"/>
        <n v="1947"/>
        <n v="2072"/>
        <n v="3731"/>
        <n v="4213"/>
        <n v="3134"/>
        <n v="3008"/>
        <n v="305"/>
        <n v="2746"/>
        <n v="2291"/>
        <n v="3170"/>
        <n v="2070"/>
        <n v="80"/>
        <n v="4929"/>
        <n v="1878"/>
        <n v="3065"/>
        <n v="3256"/>
        <n v="4133"/>
        <n v="1702"/>
        <n v="4295"/>
        <n v="3559"/>
        <n v="4804"/>
        <n v="754"/>
        <n v="985"/>
        <n v="2283"/>
        <n v="3352"/>
        <n v="4775"/>
        <n v="1762"/>
        <n v="2120"/>
        <n v="1082"/>
        <n v="4671"/>
        <n v="3430"/>
        <n v="4501"/>
        <n v="4934"/>
        <n v="3239"/>
        <n v="1076"/>
        <n v="4771"/>
        <n v="2418"/>
        <n v="3809"/>
        <n v="3577"/>
        <n v="1018"/>
        <n v="3073"/>
        <n v="1330"/>
        <n v="3828"/>
        <n v="142"/>
        <n v="3798"/>
        <n v="3099"/>
        <n v="129"/>
        <n v="3796"/>
        <n v="3711"/>
        <n v="606"/>
        <n v="4689"/>
        <n v="360"/>
        <n v="3215"/>
        <n v="4523"/>
        <n v="4292"/>
        <n v="1644"/>
        <n v="2728"/>
        <n v="3360"/>
        <n v="1963"/>
        <n v="4285"/>
        <n v="1176"/>
        <n v="4858"/>
        <n v="4350"/>
        <n v="914"/>
        <n v="1813"/>
        <n v="4782"/>
        <n v="1048"/>
        <n v="2509"/>
        <n v="3718"/>
        <n v="802"/>
        <n v="1871"/>
        <n v="3773"/>
        <n v="2234"/>
        <n v="3820"/>
        <n v="941"/>
        <n v="4274"/>
        <n v="2949"/>
        <n v="3160"/>
        <n v="257"/>
        <n v="3874"/>
        <n v="2696"/>
        <n v="521"/>
        <n v="4872"/>
        <n v="1509"/>
        <n v="4606"/>
        <n v="1869"/>
        <n v="1188"/>
        <n v="84"/>
        <n v="4453"/>
        <n v="1814"/>
        <n v="3338"/>
        <n v="602"/>
        <n v="4672"/>
        <n v="1741"/>
        <n v="246"/>
        <n v="4808"/>
        <n v="4799"/>
        <n v="3663"/>
        <n v="1430"/>
        <n v="249"/>
        <n v="2382"/>
        <n v="1272"/>
        <n v="3196"/>
        <n v="1257"/>
        <n v="3770"/>
        <n v="4725"/>
        <n v="4188"/>
        <n v="929"/>
        <n v="4321"/>
        <n v="4767"/>
        <n v="3592"/>
        <n v="4661"/>
        <n v="4134"/>
        <n v="400"/>
        <n v="3960"/>
        <n v="886"/>
        <n v="827"/>
        <n v="3813"/>
        <n v="1377"/>
        <n v="2089"/>
        <n v="3791"/>
        <n v="2692"/>
        <n v="3767"/>
        <n v="2143"/>
        <n v="3090"/>
        <n v="3601"/>
        <n v="562"/>
        <n v="4332"/>
        <n v="4853"/>
        <n v="1206"/>
        <n v="2603"/>
        <n v="59"/>
        <n v="1877"/>
        <n v="4182"/>
        <n v="4187"/>
        <n v="4579"/>
        <n v="4561"/>
        <n v="3774"/>
        <n v="3575"/>
        <n v="4941"/>
        <n v="3641"/>
        <n v="3535"/>
        <n v="1556"/>
        <n v="4236"/>
        <n v="4516"/>
        <n v="4905"/>
        <n v="4275"/>
        <n v="3166"/>
        <n v="1488"/>
        <n v="3367"/>
        <n v="571"/>
        <n v="4021"/>
        <n v="3389"/>
        <n v="1164"/>
        <n v="4780"/>
        <n v="2751"/>
        <n v="2107"/>
        <n v="4663"/>
        <n v="880"/>
        <n v="2634"/>
        <n v="4731"/>
        <n v="1952"/>
        <n v="3440"/>
        <n v="2166"/>
        <n v="4303"/>
        <n v="2581"/>
        <n v="4494"/>
      </sharedItems>
    </cacheField>
    <cacheField name="Shares" numFmtId="1">
      <sharedItems containsSemiMixedTypes="0" containsString="0" containsNumber="1" containsInteger="1" minValue="10" maxValue="983" count="259">
        <n v="184"/>
        <n v="389"/>
        <n v="105"/>
        <n v="363"/>
        <n v="687"/>
        <n v="930"/>
        <n v="201"/>
        <n v="262"/>
        <n v="808"/>
        <n v="902"/>
        <n v="614"/>
        <n v="686"/>
        <n v="286"/>
        <n v="555"/>
        <n v="604"/>
        <n v="377"/>
        <n v="511"/>
        <n v="382"/>
        <n v="519"/>
        <n v="488"/>
        <n v="640"/>
        <n v="187"/>
        <n v="547"/>
        <n v="761"/>
        <n v="211"/>
        <n v="413"/>
        <n v="195"/>
        <n v="624"/>
        <n v="118"/>
        <n v="39"/>
        <n v="153"/>
        <n v="10"/>
        <n v="400"/>
        <n v="89"/>
        <n v="16"/>
        <n v="285"/>
        <n v="925"/>
        <n v="123"/>
        <n v="629"/>
        <n v="151"/>
        <n v="820"/>
        <n v="658"/>
        <n v="784"/>
        <n v="106"/>
        <n v="177"/>
        <n v="752"/>
        <n v="295"/>
        <n v="549"/>
        <n v="130"/>
        <n v="504"/>
        <n v="338"/>
        <n v="639"/>
        <n v="904"/>
        <n v="119"/>
        <n v="498"/>
        <n v="535"/>
        <n v="770"/>
        <n v="263"/>
        <n v="973"/>
        <n v="983"/>
        <n v="81"/>
        <n v="217"/>
        <n v="248"/>
        <n v="501"/>
        <n v="171"/>
        <n v="568"/>
        <n v="126"/>
        <n v="626"/>
        <n v="772"/>
        <n v="915"/>
        <n v="60"/>
        <n v="426"/>
        <n v="200"/>
        <n v="929"/>
        <n v="135"/>
        <n v="116"/>
        <n v="324"/>
        <n v="137"/>
        <n v="892"/>
        <n v="29"/>
        <n v="88"/>
        <n v="472"/>
        <n v="851"/>
        <n v="569"/>
        <n v="305"/>
        <n v="765"/>
        <n v="47"/>
        <n v="249"/>
        <n v="960"/>
        <n v="397"/>
        <n v="967"/>
        <n v="951"/>
        <n v="304"/>
        <n v="559"/>
        <n v="366"/>
        <n v="527"/>
        <n v="548"/>
        <n v="92"/>
        <n v="978"/>
        <n v="48"/>
        <n v="38"/>
        <n v="821"/>
        <n v="893"/>
        <n v="871"/>
        <n v="215"/>
        <n v="753"/>
        <n v="17"/>
        <n v="877"/>
        <n v="236"/>
        <n v="689"/>
        <n v="97"/>
        <n v="186"/>
        <n v="451"/>
        <n v="714"/>
        <n v="675"/>
        <n v="928"/>
        <n v="701"/>
        <n v="869"/>
        <n v="649"/>
        <n v="771"/>
        <n v="866"/>
        <n v="167"/>
        <n v="652"/>
        <n v="430"/>
        <n v="439"/>
        <n v="842"/>
        <n v="532"/>
        <n v="115"/>
        <n v="253"/>
        <n v="888"/>
        <n v="94"/>
        <n v="156"/>
        <n v="78"/>
        <n v="857"/>
        <n v="275"/>
        <n v="362"/>
        <n v="749"/>
        <n v="62"/>
        <n v="459"/>
        <n v="466"/>
        <n v="750"/>
        <n v="853"/>
        <n v="59"/>
        <n v="550"/>
        <n v="197"/>
        <n v="932"/>
        <n v="210"/>
        <n v="941"/>
        <n v="173"/>
        <n v="405"/>
        <n v="158"/>
        <n v="209"/>
        <n v="876"/>
        <n v="566"/>
        <n v="375"/>
        <n v="971"/>
        <n v="43"/>
        <n v="313"/>
        <n v="818"/>
        <n v="754"/>
        <n v="273"/>
        <n v="596"/>
        <n v="447"/>
        <n v="553"/>
        <n v="148"/>
        <n v="31"/>
        <n v="694"/>
        <n v="643"/>
        <n v="667"/>
        <n v="352"/>
        <n v="789"/>
        <n v="134"/>
        <n v="590"/>
        <n v="61"/>
        <n v="51"/>
        <n v="546"/>
        <n v="533"/>
        <n v="525"/>
        <n v="213"/>
        <n v="886"/>
        <n v="464"/>
        <n v="317"/>
        <n v="623"/>
        <n v="721"/>
        <n v="374"/>
        <n v="385"/>
        <n v="252"/>
        <n v="299"/>
        <n v="653"/>
        <n v="697"/>
        <n v="121"/>
        <n v="340"/>
        <n v="476"/>
        <n v="204"/>
        <n v="966"/>
        <n v="884"/>
        <n v="628"/>
        <n v="746"/>
        <n v="931"/>
        <n v="453"/>
        <n v="470"/>
        <n v="897"/>
        <n v="111"/>
        <n v="277"/>
        <n v="594"/>
        <n v="325"/>
        <n v="164"/>
        <n v="149"/>
        <n v="376"/>
        <n v="592"/>
        <n v="265"/>
        <n v="465"/>
        <n v="19"/>
        <n v="917"/>
        <n v="942"/>
        <n v="192"/>
        <n v="874"/>
        <n v="190"/>
        <n v="911"/>
        <n v="935"/>
        <n v="824"/>
        <n v="680"/>
        <n v="266"/>
        <n v="77"/>
        <n v="796"/>
        <n v="593"/>
        <n v="514"/>
        <n v="12"/>
        <n v="695"/>
        <n v="837"/>
        <n v="238"/>
        <n v="690"/>
        <n v="163"/>
        <n v="745"/>
        <n v="66"/>
        <n v="125"/>
        <n v="239"/>
        <n v="414"/>
        <n v="226"/>
        <n v="494"/>
        <n v="831"/>
        <n v="711"/>
        <n v="836"/>
        <n v="845"/>
        <n v="90"/>
        <n v="417"/>
        <n v="302"/>
        <n v="794"/>
        <n v="344"/>
        <n v="616"/>
        <n v="691"/>
        <n v="33"/>
        <n v="145"/>
        <n v="297"/>
        <n v="726"/>
        <n v="13"/>
        <n v="354"/>
        <n v="517"/>
        <n v="717"/>
      </sharedItems>
    </cacheField>
    <cacheField name="Comments" numFmtId="1">
      <sharedItems containsSemiMixedTypes="0" containsString="0" containsNumber="1" containsInteger="1" minValue="7" maxValue="500" count="227">
        <n v="344"/>
        <n v="493"/>
        <n v="49"/>
        <n v="138"/>
        <n v="424"/>
        <n v="355"/>
        <n v="279"/>
        <n v="278"/>
        <n v="404"/>
        <n v="47"/>
        <n v="497"/>
        <n v="377"/>
        <n v="231"/>
        <n v="131"/>
        <n v="128"/>
        <n v="360"/>
        <n v="70"/>
        <n v="325"/>
        <n v="22"/>
        <n v="373"/>
        <n v="260"/>
        <n v="316"/>
        <n v="197"/>
        <n v="358"/>
        <n v="104"/>
        <n v="123"/>
        <n v="37"/>
        <n v="78"/>
        <n v="275"/>
        <n v="321"/>
        <n v="351"/>
        <n v="357"/>
        <n v="239"/>
        <n v="383"/>
        <n v="350"/>
        <n v="291"/>
        <n v="177"/>
        <n v="415"/>
        <n v="428"/>
        <n v="333"/>
        <n v="15"/>
        <n v="327"/>
        <n v="212"/>
        <n v="153"/>
        <n v="478"/>
        <n v="274"/>
        <n v="90"/>
        <n v="43"/>
        <n v="472"/>
        <n v="7"/>
        <n v="367"/>
        <n v="295"/>
        <n v="19"/>
        <n v="387"/>
        <n v="63"/>
        <n v="409"/>
        <n v="379"/>
        <n v="13"/>
        <n v="416"/>
        <n v="99"/>
        <n v="280"/>
        <n v="127"/>
        <n v="288"/>
        <n v="496"/>
        <n v="400"/>
        <n v="205"/>
        <n v="141"/>
        <n v="486"/>
        <n v="174"/>
        <n v="18"/>
        <n v="420"/>
        <n v="329"/>
        <n v="103"/>
        <n v="41"/>
        <n v="21"/>
        <n v="342"/>
        <n v="55"/>
        <n v="85"/>
        <n v="430"/>
        <n v="152"/>
        <n v="101"/>
        <n v="401"/>
        <n v="26"/>
        <n v="170"/>
        <n v="160"/>
        <n v="444"/>
        <n v="135"/>
        <n v="86"/>
        <n v="143"/>
        <n v="162"/>
        <n v="306"/>
        <n v="286"/>
        <n v="42"/>
        <n v="499"/>
        <n v="10"/>
        <n v="347"/>
        <n v="413"/>
        <n v="482"/>
        <n v="285"/>
        <n v="238"/>
        <n v="369"/>
        <n v="488"/>
        <n v="44"/>
        <n v="458"/>
        <n v="405"/>
        <n v="207"/>
        <n v="301"/>
        <n v="412"/>
        <n v="140"/>
        <n v="225"/>
        <n v="216"/>
        <n v="241"/>
        <n v="442"/>
        <n v="393"/>
        <n v="211"/>
        <n v="71"/>
        <n v="434"/>
        <n v="243"/>
        <n v="203"/>
        <n v="485"/>
        <n v="386"/>
        <n v="80"/>
        <n v="452"/>
        <n v="179"/>
        <n v="142"/>
        <n v="266"/>
        <n v="289"/>
        <n v="270"/>
        <n v="257"/>
        <n v="287"/>
        <n v="130"/>
        <n v="206"/>
        <n v="423"/>
        <n v="484"/>
        <n v="366"/>
        <n v="164"/>
        <n v="323"/>
        <n v="156"/>
        <n v="56"/>
        <n v="54"/>
        <n v="200"/>
        <n v="332"/>
        <n v="35"/>
        <n v="253"/>
        <n v="183"/>
        <n v="171"/>
        <n v="136"/>
        <n v="395"/>
        <n v="290"/>
        <n v="470"/>
        <n v="403"/>
        <n v="202"/>
        <n v="157"/>
        <n v="392"/>
        <n v="150"/>
        <n v="215"/>
        <n v="500"/>
        <n v="376"/>
        <n v="394"/>
        <n v="129"/>
        <n v="246"/>
        <n v="72"/>
        <n v="82"/>
        <n v="450"/>
        <n v="310"/>
        <n v="244"/>
        <n v="335"/>
        <n v="38"/>
        <n v="432"/>
        <n v="268"/>
        <n v="281"/>
        <n v="297"/>
        <n v="398"/>
        <n v="443"/>
        <n v="315"/>
        <n v="176"/>
        <n v="163"/>
        <n v="230"/>
        <n v="490"/>
        <n v="363"/>
        <n v="118"/>
        <n v="32"/>
        <n v="318"/>
        <n v="320"/>
        <n v="33"/>
        <n v="134"/>
        <n v="362"/>
        <n v="322"/>
        <n v="172"/>
        <n v="340"/>
        <n v="375"/>
        <n v="433"/>
        <n v="8"/>
        <n v="402"/>
        <n v="69"/>
        <n v="228"/>
        <n v="64"/>
        <n v="204"/>
        <n v="75"/>
        <n v="149"/>
        <n v="219"/>
        <n v="36"/>
        <n v="93"/>
        <n v="240"/>
        <n v="31"/>
        <n v="300"/>
        <n v="441"/>
        <n v="39"/>
        <n v="111"/>
        <n v="46"/>
        <n v="345"/>
        <n v="298"/>
        <n v="169"/>
        <n v="385"/>
        <n v="341"/>
        <n v="168"/>
        <n v="57"/>
        <n v="352"/>
        <n v="77"/>
        <n v="229"/>
        <n v="324"/>
        <n v="380"/>
        <n v="349"/>
        <n v="276"/>
        <n v="20"/>
        <n v="117"/>
        <n v="45"/>
      </sharedItems>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0">
      <sharedItems/>
    </cacheField>
    <cacheField name="Campaign_Name" numFmtId="0">
      <sharedItems containsBlank="1"/>
    </cacheField>
    <cacheField name="Hashtags 1" numFmtId="49">
      <sharedItems/>
    </cacheField>
    <cacheField name="Hashtag 2" numFmtId="49">
      <sharedItems containsBlank="1"/>
    </cacheField>
    <cacheField name="Hashtag 3" numFmtId="49">
      <sharedItems containsBlank="1"/>
    </cacheField>
    <cacheField name="Engagement Rate" numFmtId="9">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tula" refreshedDate="45893.763018865742" createdVersion="8" refreshedVersion="8" minRefreshableVersion="3" recordCount="337" xr:uid="{3676C855-9D2E-4332-BBA6-3636D7B8E178}">
  <cacheSource type="worksheet">
    <worksheetSource name="Table2_1"/>
  </cacheSource>
  <cacheFields count="2">
    <cacheField name="Clicks for all hashtags" numFmtId="0">
      <sharedItems containsSemiMixedTypes="0" containsString="0" containsNumber="1" containsInteger="1" minValue="10" maxValue="300" count="191">
        <n v="15"/>
        <n v="117"/>
        <n v="204"/>
        <n v="128"/>
        <n v="224"/>
        <n v="256"/>
        <n v="235"/>
        <n v="39"/>
        <n v="131"/>
        <n v="167"/>
        <n v="65"/>
        <n v="213"/>
        <n v="114"/>
        <n v="265"/>
        <n v="20"/>
        <n v="87"/>
        <n v="159"/>
        <n v="19"/>
        <n v="103"/>
        <n v="25"/>
        <n v="83"/>
        <n v="133"/>
        <n v="225"/>
        <n v="161"/>
        <n v="238"/>
        <n v="211"/>
        <n v="51"/>
        <n v="79"/>
        <n v="221"/>
        <n v="93"/>
        <n v="282"/>
        <n v="275"/>
        <n v="113"/>
        <n v="215"/>
        <n v="271"/>
        <n v="31"/>
        <n v="36"/>
        <n v="92"/>
        <n v="299"/>
        <n v="205"/>
        <n v="241"/>
        <n v="137"/>
        <n v="216"/>
        <n v="176"/>
        <n v="97"/>
        <n v="127"/>
        <n v="119"/>
        <n v="177"/>
        <n v="112"/>
        <n v="34"/>
        <n v="11"/>
        <n v="52"/>
        <n v="123"/>
        <n v="60"/>
        <n v="169"/>
        <n v="262"/>
        <n v="174"/>
        <n v="84"/>
        <n v="148"/>
        <n v="125"/>
        <n v="75"/>
        <n v="289"/>
        <n v="184"/>
        <n v="100"/>
        <n v="73"/>
        <n v="149"/>
        <n v="43"/>
        <n v="227"/>
        <n v="88"/>
        <n v="255"/>
        <n v="99"/>
        <n v="63"/>
        <n v="21"/>
        <n v="266"/>
        <n v="28"/>
        <n v="283"/>
        <n v="200"/>
        <n v="230"/>
        <n v="242"/>
        <n v="197"/>
        <n v="180"/>
        <n v="297"/>
        <n v="236"/>
        <n v="150"/>
        <n v="46"/>
        <n v="163"/>
        <n v="173"/>
        <n v="12"/>
        <n v="223"/>
        <n v="212"/>
        <n v="199"/>
        <n v="32"/>
        <n v="298"/>
        <n v="182"/>
        <n v="209"/>
        <n v="270"/>
        <n v="40"/>
        <n v="10"/>
        <n v="44"/>
        <n v="219"/>
        <n v="57"/>
        <n v="91"/>
        <n v="185"/>
        <n v="264"/>
        <n v="157"/>
        <n v="233"/>
        <n v="142"/>
        <n v="158"/>
        <n v="170"/>
        <n v="22"/>
        <n v="186"/>
        <n v="272"/>
        <n v="130"/>
        <n v="277"/>
        <n v="234"/>
        <n v="147"/>
        <n v="240"/>
        <n v="66"/>
        <n v="143"/>
        <n v="76"/>
        <n v="290"/>
        <n v="122"/>
        <n v="47"/>
        <n v="64"/>
        <n v="187"/>
        <n v="17"/>
        <n v="245"/>
        <n v="120"/>
        <n v="132"/>
        <n v="104"/>
        <n v="53"/>
        <n v="38"/>
        <n v="246"/>
        <n v="229"/>
        <n v="154"/>
        <n v="292"/>
        <n v="239"/>
        <n v="208"/>
        <n v="251"/>
        <n v="71"/>
        <n v="300"/>
        <n v="192"/>
        <n v="145"/>
        <n v="195"/>
        <n v="85"/>
        <n v="49"/>
        <n v="288"/>
        <n v="286"/>
        <n v="198"/>
        <n v="171"/>
        <n v="129"/>
        <n v="135"/>
        <n v="287"/>
        <n v="248"/>
        <n v="89"/>
        <n v="56"/>
        <n v="23"/>
        <n v="252"/>
        <n v="164"/>
        <n v="118"/>
        <n v="121"/>
        <n v="217"/>
        <n v="201"/>
        <n v="249"/>
        <n v="42"/>
        <n v="194"/>
        <n v="102"/>
        <n v="210"/>
        <n v="160"/>
        <n v="254"/>
        <n v="189"/>
        <n v="226"/>
        <n v="172"/>
        <n v="237"/>
        <n v="293"/>
        <n v="41"/>
        <n v="62"/>
        <n v="269"/>
        <n v="45"/>
        <n v="296"/>
        <n v="58"/>
        <n v="279"/>
        <n v="30"/>
        <n v="231"/>
        <n v="228"/>
        <n v="82"/>
        <n v="191"/>
        <n v="35"/>
        <n v="24"/>
        <n v="14"/>
        <n v="70"/>
      </sharedItems>
    </cacheField>
    <cacheField name="ALL Hashtags" numFmtId="0">
      <sharedItems count="6">
        <s v="#LiveForNow"/>
        <s v="#AnytimeIsPepsiTime"/>
        <s v="#PepsiCoRefresh"/>
        <s v="#BetterWithPepsi"/>
        <s v="#ThirstyForMore"/>
        <s v="#SmoothLikeNitroPepsi"/>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tula" refreshedDate="45893.817008680555" createdVersion="8" refreshedVersion="8" minRefreshableVersion="3" recordCount="298" xr:uid="{9ACC34D5-2DD8-4011-B8C0-2837359D55B2}">
  <cacheSource type="worksheet">
    <worksheetSource name="Table2"/>
  </cacheSource>
  <cacheFields count="22">
    <cacheField name="Post ID" numFmtId="0">
      <sharedItems/>
    </cacheField>
    <cacheField name="Platform" numFmtId="0">
      <sharedItems count="4">
        <s v="Twitter"/>
        <s v="YouTube"/>
        <s v="Instagram"/>
        <s v="Facebook"/>
      </sharedItems>
    </cacheField>
    <cacheField name="Date" numFmtId="14">
      <sharedItems/>
    </cacheField>
    <cacheField name="Content Type" numFmtId="0">
      <sharedItems count="6">
        <s v="Reel"/>
        <s v="Text"/>
        <s v="Story"/>
        <s v="Carousel"/>
        <s v="Image"/>
        <s v="Video"/>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ount="227">
        <n v="344"/>
        <n v="493"/>
        <n v="49"/>
        <n v="138"/>
        <n v="424"/>
        <n v="355"/>
        <n v="279"/>
        <n v="278"/>
        <n v="404"/>
        <n v="47"/>
        <n v="497"/>
        <n v="377"/>
        <n v="231"/>
        <n v="131"/>
        <n v="128"/>
        <n v="360"/>
        <n v="70"/>
        <n v="325"/>
        <n v="22"/>
        <n v="373"/>
        <n v="260"/>
        <n v="316"/>
        <n v="197"/>
        <n v="358"/>
        <n v="104"/>
        <n v="123"/>
        <n v="37"/>
        <n v="78"/>
        <n v="275"/>
        <n v="321"/>
        <n v="351"/>
        <n v="357"/>
        <n v="239"/>
        <n v="383"/>
        <n v="350"/>
        <n v="291"/>
        <n v="177"/>
        <n v="415"/>
        <n v="428"/>
        <n v="333"/>
        <n v="15"/>
        <n v="327"/>
        <n v="212"/>
        <n v="153"/>
        <n v="478"/>
        <n v="274"/>
        <n v="90"/>
        <n v="43"/>
        <n v="472"/>
        <n v="7"/>
        <n v="367"/>
        <n v="295"/>
        <n v="19"/>
        <n v="387"/>
        <n v="63"/>
        <n v="409"/>
        <n v="379"/>
        <n v="13"/>
        <n v="416"/>
        <n v="99"/>
        <n v="280"/>
        <n v="127"/>
        <n v="288"/>
        <n v="496"/>
        <n v="400"/>
        <n v="205"/>
        <n v="141"/>
        <n v="486"/>
        <n v="174"/>
        <n v="18"/>
        <n v="420"/>
        <n v="329"/>
        <n v="103"/>
        <n v="41"/>
        <n v="21"/>
        <n v="342"/>
        <n v="55"/>
        <n v="85"/>
        <n v="430"/>
        <n v="152"/>
        <n v="101"/>
        <n v="401"/>
        <n v="26"/>
        <n v="170"/>
        <n v="160"/>
        <n v="444"/>
        <n v="135"/>
        <n v="86"/>
        <n v="143"/>
        <n v="162"/>
        <n v="306"/>
        <n v="286"/>
        <n v="42"/>
        <n v="499"/>
        <n v="10"/>
        <n v="347"/>
        <n v="413"/>
        <n v="482"/>
        <n v="285"/>
        <n v="238"/>
        <n v="369"/>
        <n v="488"/>
        <n v="44"/>
        <n v="458"/>
        <n v="405"/>
        <n v="207"/>
        <n v="301"/>
        <n v="412"/>
        <n v="140"/>
        <n v="225"/>
        <n v="216"/>
        <n v="241"/>
        <n v="442"/>
        <n v="393"/>
        <n v="211"/>
        <n v="71"/>
        <n v="434"/>
        <n v="243"/>
        <n v="203"/>
        <n v="485"/>
        <n v="386"/>
        <n v="80"/>
        <n v="452"/>
        <n v="179"/>
        <n v="142"/>
        <n v="266"/>
        <n v="289"/>
        <n v="270"/>
        <n v="257"/>
        <n v="287"/>
        <n v="130"/>
        <n v="206"/>
        <n v="423"/>
        <n v="484"/>
        <n v="366"/>
        <n v="164"/>
        <n v="323"/>
        <n v="156"/>
        <n v="56"/>
        <n v="54"/>
        <n v="200"/>
        <n v="332"/>
        <n v="35"/>
        <n v="253"/>
        <n v="183"/>
        <n v="171"/>
        <n v="136"/>
        <n v="395"/>
        <n v="290"/>
        <n v="470"/>
        <n v="403"/>
        <n v="202"/>
        <n v="157"/>
        <n v="392"/>
        <n v="150"/>
        <n v="215"/>
        <n v="500"/>
        <n v="376"/>
        <n v="394"/>
        <n v="129"/>
        <n v="246"/>
        <n v="72"/>
        <n v="82"/>
        <n v="450"/>
        <n v="310"/>
        <n v="244"/>
        <n v="335"/>
        <n v="38"/>
        <n v="432"/>
        <n v="268"/>
        <n v="281"/>
        <n v="297"/>
        <n v="398"/>
        <n v="443"/>
        <n v="315"/>
        <n v="176"/>
        <n v="163"/>
        <n v="230"/>
        <n v="490"/>
        <n v="363"/>
        <n v="118"/>
        <n v="32"/>
        <n v="318"/>
        <n v="320"/>
        <n v="33"/>
        <n v="134"/>
        <n v="362"/>
        <n v="322"/>
        <n v="172"/>
        <n v="340"/>
        <n v="375"/>
        <n v="433"/>
        <n v="8"/>
        <n v="402"/>
        <n v="69"/>
        <n v="228"/>
        <n v="64"/>
        <n v="204"/>
        <n v="75"/>
        <n v="149"/>
        <n v="219"/>
        <n v="36"/>
        <n v="93"/>
        <n v="240"/>
        <n v="31"/>
        <n v="300"/>
        <n v="441"/>
        <n v="39"/>
        <n v="111"/>
        <n v="46"/>
        <n v="345"/>
        <n v="298"/>
        <n v="169"/>
        <n v="385"/>
        <n v="341"/>
        <n v="168"/>
        <n v="57"/>
        <n v="352"/>
        <n v="77"/>
        <n v="229"/>
        <n v="324"/>
        <n v="380"/>
        <n v="349"/>
        <n v="276"/>
        <n v="20"/>
        <n v="117"/>
        <n v="45"/>
      </sharedItems>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0">
      <sharedItems/>
    </cacheField>
    <cacheField name="Campaign_Name" numFmtId="0">
      <sharedItems containsBlank="1" count="5">
        <s v="SummerSplash"/>
        <s v="FestiveRadiance"/>
        <s v="NewYearRefresh"/>
        <s v="DailyWellness"/>
        <m/>
      </sharedItems>
    </cacheField>
    <cacheField name="Hashtags 1" numFmtId="49">
      <sharedItems count="3">
        <s v="#LiveForNow"/>
        <s v="#PepsiCoRefresh"/>
        <s v="#ThirstyForMore"/>
      </sharedItems>
    </cacheField>
    <cacheField name="Hashtag 2" numFmtId="49">
      <sharedItems containsBlank="1" count="6">
        <s v="#AnytimeIsPepsiTime"/>
        <s v="#BetterWithPepsi"/>
        <m/>
        <s v="#PepsiCoRefresh"/>
        <s v="#SmoothLikeNitroPepsi"/>
        <s v="#ThirstyForMore"/>
      </sharedItems>
    </cacheField>
    <cacheField name="Hashtag 3" numFmtId="49">
      <sharedItems containsBlank="1" count="4">
        <m/>
        <s v="#AnytimeIsPepsiTime"/>
        <s v="#ThirstyForMore"/>
        <s v="#BetterWithPepsi"/>
      </sharedItems>
    </cacheField>
    <cacheField name="Engagement Rate" numFmtId="9">
      <sharedItems containsSemiMixedTypes="0" containsString="0" containsNumber="1" minValue="5.2551586421122697E-2" maxValue="1.8129251700680271"/>
    </cacheField>
    <cacheField name="Engagement" numFmtId="1">
      <sharedItems containsSemiMixedTypes="0" containsString="0" containsNumber="1" containsInteger="1" minValue="315" maxValue="6278"/>
    </cacheField>
    <cacheField name="Total Engagement" numFmtId="0" formula="Likes +Shares +Comments" databaseField="0"/>
    <cacheField name="Total" numFmtId="0" formula="Likes+Shares+Comments" databaseField="0"/>
    <cacheField name="Engagement(Likes, shares, comments)" numFmtId="0" formula="Likes+Shares+Comments" databaseField="0"/>
    <cacheField name="Performance" numFmtId="0" formula="Likes+Shares+Comments"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tula" refreshedDate="45893.927098726854" createdVersion="8" refreshedVersion="8" minRefreshableVersion="3" recordCount="200" xr:uid="{53F1C90B-F176-426E-8F5A-4B2A0A8D8754}">
  <cacheSource type="worksheet">
    <worksheetSource ref="A1:G201" sheet="Engagement Summary"/>
  </cacheSource>
  <cacheFields count="7">
    <cacheField name="Week_Start_Date" numFmtId="0">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ount="172">
        <n v="8.06"/>
        <n v="4.9800000000000004"/>
        <n v="8.31"/>
        <n v="4.1100000000000003"/>
        <n v="9.0500000000000007"/>
        <n v="2.37"/>
        <n v="4.01"/>
        <n v="3.16"/>
        <n v="2.46"/>
        <n v="8.11"/>
        <n v="8.19"/>
        <n v="3.49"/>
        <n v="6.92"/>
        <n v="9.1199999999999992"/>
        <n v="3.5"/>
        <n v="2.62"/>
        <n v="9.36"/>
        <n v="4.4800000000000004"/>
        <n v="6.19"/>
        <n v="8.7200000000000006"/>
        <n v="8.74"/>
        <n v="1.91"/>
        <n v="4.66"/>
        <n v="2.88"/>
        <n v="3.74"/>
        <n v="6.44"/>
        <n v="8.56"/>
        <n v="4.5599999999999996"/>
        <n v="7.88"/>
        <n v="7.86"/>
        <n v="5.34"/>
        <n v="5.52"/>
        <n v="4.05"/>
        <n v="7.73"/>
        <n v="4.3600000000000003"/>
        <n v="3.48"/>
        <n v="7.83"/>
        <n v="6.11"/>
        <n v="9.43"/>
        <n v="4.04"/>
        <n v="6.23"/>
        <n v="6.01"/>
        <n v="8.5500000000000007"/>
        <n v="5.42"/>
        <n v="3.25"/>
        <n v="8.84"/>
        <n v="7.24"/>
        <n v="5.71"/>
        <n v="9.0399999999999991"/>
        <n v="3.91"/>
        <n v="7.16"/>
        <n v="6.41"/>
        <n v="8.02"/>
        <n v="3.86"/>
        <n v="9.09"/>
        <n v="1.76"/>
        <n v="9.24"/>
        <n v="8.99"/>
        <n v="3.4"/>
        <n v="9.1999999999999993"/>
        <n v="8.59"/>
        <n v="2.36"/>
        <n v="7.36"/>
        <n v="8.1300000000000008"/>
        <n v="3.3"/>
        <n v="1.77"/>
        <n v="2.09"/>
        <n v="6.25"/>
        <n v="1.75"/>
        <n v="4.97"/>
        <n v="9.3000000000000007"/>
        <n v="8.9"/>
        <n v="3.88"/>
        <n v="5.9"/>
        <n v="1.53"/>
        <n v="6.5"/>
        <n v="8.25"/>
        <n v="5.41"/>
        <n v="5.85"/>
        <n v="4.46"/>
        <n v="5.22"/>
        <n v="1.99"/>
        <n v="6.85"/>
        <n v="3.32"/>
        <n v="5.68"/>
        <n v="6.08"/>
        <n v="8.6999999999999993"/>
        <n v="7.97"/>
        <n v="9.41"/>
        <n v="2.68"/>
        <n v="7.32"/>
        <n v="4.68"/>
        <n v="5.17"/>
        <n v="6.2"/>
        <n v="2.69"/>
        <n v="3.79"/>
        <n v="4.79"/>
        <n v="6.37"/>
        <n v="2.65"/>
        <n v="1.81"/>
        <n v="7.47"/>
        <n v="4.2"/>
        <n v="5.43"/>
        <n v="6.66"/>
        <n v="8.09"/>
        <n v="8.44"/>
        <n v="2.02"/>
        <n v="7.74"/>
        <n v="2.89"/>
        <n v="3.09"/>
        <n v="5.3"/>
        <n v="8.1999999999999993"/>
        <n v="2.2200000000000002"/>
        <n v="8.33"/>
        <n v="5.61"/>
        <n v="2.56"/>
        <n v="3.29"/>
        <n v="4.51"/>
        <n v="5.23"/>
        <n v="9.23"/>
        <n v="2.0099999999999998"/>
        <n v="3.72"/>
        <n v="3.89"/>
        <n v="6.95"/>
        <n v="9.48"/>
        <n v="4.6100000000000003"/>
        <n v="8.0299999999999994"/>
        <n v="6.99"/>
        <n v="9.0299999999999994"/>
        <n v="2.86"/>
        <n v="3.85"/>
        <n v="7.3"/>
        <n v="9.08"/>
        <n v="4.34"/>
        <n v="7.8"/>
        <n v="6.58"/>
        <n v="8.6199999999999992"/>
        <n v="4.55"/>
        <n v="9.4"/>
        <n v="7.23"/>
        <n v="9.39"/>
        <n v="5.12"/>
        <n v="4.9400000000000004"/>
        <n v="1.8"/>
        <n v="8.64"/>
        <n v="8.52"/>
        <n v="5.53"/>
        <n v="1.87"/>
        <n v="6.27"/>
        <n v="9.4600000000000009"/>
        <n v="7.5"/>
        <n v="4.7300000000000004"/>
        <n v="3.19"/>
        <n v="2.4900000000000002"/>
        <n v="4.5"/>
        <n v="6.49"/>
        <n v="6.73"/>
        <n v="4.83"/>
        <n v="6.54"/>
        <n v="6.8"/>
        <n v="2.6"/>
        <n v="2.44"/>
        <n v="5.69"/>
        <n v="1.6"/>
        <n v="6.09"/>
        <n v="5.59"/>
        <n v="3.55"/>
        <n v="5.21"/>
        <n v="1.82"/>
        <n v="4"/>
        <n v="7.57"/>
        <n v="6.81"/>
      </sharedItems>
    </cacheField>
    <cacheField name="Ad_Spend" numFmtId="0">
      <sharedItems containsSemiMixedTypes="0" containsString="0" containsNumber="1" containsInteger="1" minValue="1083" maxValue="49772" count="199">
        <n v="5904"/>
        <n v="9566"/>
        <n v="26752"/>
        <n v="30671"/>
        <n v="9920"/>
        <n v="7924"/>
        <n v="8912"/>
        <n v="21205"/>
        <n v="11329"/>
        <n v="46670"/>
        <n v="22482"/>
        <n v="24313"/>
        <n v="18050"/>
        <n v="30635"/>
        <n v="31280"/>
        <n v="1783"/>
        <n v="42307"/>
        <n v="5914"/>
        <n v="30060"/>
        <n v="22728"/>
        <n v="38610"/>
        <n v="2932"/>
        <n v="15071"/>
        <n v="10740"/>
        <n v="43420"/>
        <n v="32393"/>
        <n v="28474"/>
        <n v="17328"/>
        <n v="26067"/>
        <n v="32763"/>
        <n v="26452"/>
        <n v="15353"/>
        <n v="4839"/>
        <n v="39272"/>
        <n v="16804"/>
        <n v="49303"/>
        <n v="26455"/>
        <n v="12384"/>
        <n v="49372"/>
        <n v="47101"/>
        <n v="37903"/>
        <n v="33258"/>
        <n v="6915"/>
        <n v="35501"/>
        <n v="14203"/>
        <n v="22206"/>
        <n v="10283"/>
        <n v="24913"/>
        <n v="26925"/>
        <n v="9942"/>
        <n v="32929"/>
        <n v="37829"/>
        <n v="24384"/>
        <n v="25797"/>
        <n v="12646"/>
        <n v="26663"/>
        <n v="40478"/>
        <n v="15476"/>
        <n v="10217"/>
        <n v="21939"/>
        <n v="47462"/>
        <n v="30270"/>
        <n v="5442"/>
        <n v="1083"/>
        <n v="11901"/>
        <n v="24018"/>
        <n v="38883"/>
        <n v="30575"/>
        <n v="2315"/>
        <n v="12148"/>
        <n v="36851"/>
        <n v="41215"/>
        <n v="43836"/>
        <n v="4509"/>
        <n v="27822"/>
        <n v="36397"/>
        <n v="7285"/>
        <n v="33174"/>
        <n v="6742"/>
        <n v="32478"/>
        <n v="42824"/>
        <n v="21208"/>
        <n v="44321"/>
        <n v="13116"/>
        <n v="30214"/>
        <n v="15827"/>
        <n v="46643"/>
        <n v="36484"/>
        <n v="4996"/>
        <n v="36095"/>
        <n v="16443"/>
        <n v="47812"/>
        <n v="38452"/>
        <n v="30428"/>
        <n v="9269"/>
        <n v="29533"/>
        <n v="39997"/>
        <n v="5391"/>
        <n v="22373"/>
        <n v="1810"/>
        <n v="28498"/>
        <n v="39530"/>
        <n v="37876"/>
        <n v="36103"/>
        <n v="26103"/>
        <n v="3455"/>
        <n v="40888"/>
        <n v="22724"/>
        <n v="18601"/>
        <n v="20861"/>
        <n v="46625"/>
        <n v="20692"/>
        <n v="18656"/>
        <n v="13316"/>
        <n v="49558"/>
        <n v="4683"/>
        <n v="47502"/>
        <n v="35359"/>
        <n v="14154"/>
        <n v="4313"/>
        <n v="25140"/>
        <n v="9118"/>
        <n v="39931"/>
        <n v="37132"/>
        <n v="17951"/>
        <n v="2798"/>
        <n v="15045"/>
        <n v="14548"/>
        <n v="45708"/>
        <n v="12350"/>
        <n v="40868"/>
        <n v="43122"/>
        <n v="23853"/>
        <n v="45380"/>
        <n v="7705"/>
        <n v="25525"/>
        <n v="20560"/>
        <n v="19119"/>
        <n v="43999"/>
        <n v="10825"/>
        <n v="40323"/>
        <n v="48270"/>
        <n v="18001"/>
        <n v="3314"/>
        <n v="23489"/>
        <n v="42832"/>
        <n v="24494"/>
        <n v="44097"/>
        <n v="31853"/>
        <n v="37636"/>
        <n v="22996"/>
        <n v="49772"/>
        <n v="22713"/>
        <n v="8718"/>
        <n v="39031"/>
        <n v="33799"/>
        <n v="20553"/>
        <n v="10002"/>
        <n v="30987"/>
        <n v="6296"/>
        <n v="21539"/>
        <n v="14722"/>
        <n v="11383"/>
        <n v="9480"/>
        <n v="29116"/>
        <n v="14068"/>
        <n v="35801"/>
        <n v="49077"/>
        <n v="21453"/>
        <n v="21061"/>
        <n v="20059"/>
        <n v="23140"/>
        <n v="23461"/>
        <n v="11805"/>
        <n v="15969"/>
        <n v="2436"/>
        <n v="47603"/>
        <n v="42964"/>
        <n v="39923"/>
        <n v="2293"/>
        <n v="25920"/>
        <n v="11035"/>
        <n v="20733"/>
        <n v="18693"/>
        <n v="7875"/>
        <n v="8471"/>
        <n v="14090"/>
        <n v="14216"/>
        <n v="3582"/>
        <n v="32500"/>
        <n v="6832"/>
        <n v="33381"/>
        <n v="48419"/>
        <n v="16149"/>
        <n v="7541"/>
        <n v="20042"/>
        <n v="49400"/>
        <n v="4007"/>
        <n v="12174"/>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tula" refreshedDate="45894.522207060189" backgroundQuery="1" createdVersion="8" refreshedVersion="8" minRefreshableVersion="3" recordCount="6" xr:uid="{02977DD4-EC30-4910-BD12-37F0769B3466}">
  <cacheSource type="external" connectionId="6"/>
  <cacheFields count="4">
    <cacheField name="All Hashtags" numFmtId="0">
      <sharedItems count="6">
        <s v="#LiveForNow"/>
        <s v="#AnytimeIsPepsiTime"/>
        <s v="#PepsiCoRefresh"/>
        <s v="#BetterWithPepsi"/>
        <s v="#ThirstyForMore"/>
        <s v="#SmoothLikeNitroPepsi"/>
      </sharedItems>
    </cacheField>
    <cacheField name="Average Likes per hashtag" numFmtId="0">
      <sharedItems containsSemiMixedTypes="0" containsString="0" containsNumber="1" minValue="2219.6" maxValue="3451.7142857142858" count="6">
        <n v="2640.6831683168316"/>
        <n v="2219.6"/>
        <n v="2705.1028037383176"/>
        <n v="3451.7142857142858"/>
        <n v="2838.8039215686276"/>
        <n v="3127.8"/>
      </sharedItems>
    </cacheField>
    <cacheField name="Average Comments per hashtag" numFmtId="0">
      <sharedItems containsSemiMixedTypes="0" containsString="0" containsNumber="1" minValue="151" maxValue="283.39999999999998" count="6">
        <n v="260.00990099009903"/>
        <n v="257.39999999999998"/>
        <n v="254.18691588785046"/>
        <n v="151"/>
        <n v="230.95098039215685"/>
        <n v="283.39999999999998"/>
      </sharedItems>
    </cacheField>
    <cacheField name="Average Performance" numFmtId="0" formula="'Average Likes per hashtag' +'Average Comments per hashtag'"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tula" refreshedDate="45895.49137210648" createdVersion="8" refreshedVersion="8" minRefreshableVersion="3" recordCount="298" xr:uid="{68623085-7A5D-4D9A-B50F-2C1C0792BE06}">
  <cacheSource type="worksheet">
    <worksheetSource name="Table211"/>
  </cacheSource>
  <cacheFields count="18">
    <cacheField name="Post ID" numFmtId="0">
      <sharedItems/>
    </cacheField>
    <cacheField name="Platform" numFmtId="0">
      <sharedItems/>
    </cacheField>
    <cacheField name="Date" numFmtId="14">
      <sharedItems/>
    </cacheField>
    <cacheField name="Content Type" numFmtId="0">
      <sharedItems/>
    </cacheField>
    <cacheField name="Post Text" numFmtId="49">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0">
      <sharedItems/>
    </cacheField>
    <cacheField name="Campaign_Name" numFmtId="0">
      <sharedItems containsBlank="1" count="5">
        <s v="SummerSplash"/>
        <s v="FestiveRadiance"/>
        <s v="NewYearRefresh"/>
        <s v="DailyWellness"/>
        <m/>
      </sharedItems>
    </cacheField>
    <cacheField name="Hashtags 1" numFmtId="49">
      <sharedItems/>
    </cacheField>
    <cacheField name="Hashtag 2" numFmtId="49">
      <sharedItems containsBlank="1"/>
    </cacheField>
    <cacheField name="Hashtag 3" numFmtId="49">
      <sharedItems containsBlank="1"/>
    </cacheField>
    <cacheField name="Engagement Rate" numFmtId="9">
      <sharedItems containsSemiMixedTypes="0" containsString="0" containsNumber="1" minValue="5.2551586421122697E-2" maxValue="1.8129251700680271"/>
    </cacheField>
    <cacheField name="Engagement" numFmtId="1">
      <sharedItems containsSemiMixedTypes="0" containsString="0" containsNumber="1" containsInteger="1" minValue="315" maxValue="6278"/>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tula" refreshedDate="45895.706926967592" createdVersion="8" refreshedVersion="8" minRefreshableVersion="3" recordCount="200" xr:uid="{7C3CA349-67C5-4657-AF7D-6C6A39A28FE5}">
  <cacheSource type="worksheet">
    <worksheetSource name="Table14"/>
  </cacheSource>
  <cacheFields count="11">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9"/>
    </cacheField>
    <cacheField name="Platform" numFmtId="49">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1">
      <sharedItems containsSemiMixedTypes="0" containsString="0" containsNumber="1" containsInteger="1" minValue="1083" maxValue="49772"/>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 name="Net Follower Gained" numFmtId="0" formula="New_Followers-Unfollows" databaseField="0"/>
  </cacheFields>
  <extLst>
    <ext xmlns:x14="http://schemas.microsoft.com/office/spreadsheetml/2009/9/main" uri="{725AE2AE-9491-48be-B2B4-4EB974FC3084}">
      <x14:pivotCacheDefinition pivotCacheId="2089995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s v="P001"/>
    <x v="0"/>
    <s v="2024-12-23"/>
    <x v="0"/>
    <s v="Check out our latest reel on twitter!"/>
    <x v="0"/>
    <x v="0"/>
    <x v="0"/>
    <n v="21915"/>
    <n v="21675"/>
    <n v="15"/>
    <s v="#LiveForNow,#AnytimeIsPepsiTime"/>
    <s v="SummerSplash"/>
    <s v="#LiveForNow"/>
    <s v="#AnytimeIsPepsiTime"/>
    <m/>
    <n v="9.0759753593429152E-2"/>
  </r>
  <r>
    <s v="P002"/>
    <x v="0"/>
    <s v="2025-04-03"/>
    <x v="1"/>
    <s v="Check out our latest text on twitter!"/>
    <x v="1"/>
    <x v="1"/>
    <x v="1"/>
    <n v="64864"/>
    <n v="64383"/>
    <n v="117"/>
    <s v="#PepsiCoRefresh,#BetterWithPepsi"/>
    <s v="FestiveRadiance"/>
    <s v="#PepsiCoRefresh"/>
    <s v="#BetterWithPepsi"/>
    <m/>
    <n v="7.6097681302417369E-2"/>
  </r>
  <r>
    <s v="P003"/>
    <x v="1"/>
    <s v="2025-05-12"/>
    <x v="0"/>
    <s v="Check out our latest reel on youtube!"/>
    <x v="2"/>
    <x v="2"/>
    <x v="2"/>
    <n v="53105"/>
    <n v="52307"/>
    <n v="204"/>
    <s v="#PepsiCoRefresh"/>
    <s v="NewYearRefresh"/>
    <s v="#PepsiCoRefresh"/>
    <m/>
    <m/>
    <n v="5.5531494209584788E-2"/>
  </r>
  <r>
    <s v="P004"/>
    <x v="2"/>
    <s v="2024-08-12"/>
    <x v="2"/>
    <s v="Check out our latest story on instagram!"/>
    <x v="3"/>
    <x v="3"/>
    <x v="3"/>
    <n v="19232"/>
    <n v="18636"/>
    <n v="128"/>
    <s v="#ThirstyForMore"/>
    <s v="DailyWellness"/>
    <s v="#ThirstyForMore"/>
    <m/>
    <m/>
    <n v="0.15105033277870217"/>
  </r>
  <r>
    <s v="P005"/>
    <x v="1"/>
    <s v="2024-06-26"/>
    <x v="0"/>
    <s v="Check out our latest reel on youtube!"/>
    <x v="4"/>
    <x v="4"/>
    <x v="4"/>
    <n v="71140"/>
    <n v="70701"/>
    <n v="224"/>
    <s v="#ThirstyForMore,#PepsiCoRefresh"/>
    <s v="SummerSplash"/>
    <s v="#ThirstyForMore"/>
    <s v="#PepsiCoRefresh"/>
    <m/>
    <n v="6.5617093055946027E-2"/>
  </r>
  <r>
    <s v="P006"/>
    <x v="3"/>
    <s v="2024-10-31"/>
    <x v="3"/>
    <s v="Check out our latest carousel on facebook!"/>
    <x v="5"/>
    <x v="5"/>
    <x v="5"/>
    <n v="23560"/>
    <n v="23275"/>
    <n v="256"/>
    <s v="#PepsiCoRefresh"/>
    <s v="FestiveRadiance"/>
    <s v="#PepsiCoRefresh"/>
    <m/>
    <m/>
    <n v="0.17954159592529711"/>
  </r>
  <r>
    <s v="P007"/>
    <x v="0"/>
    <s v="2024-06-24"/>
    <x v="3"/>
    <s v="Check out our latest carousel on twitter!"/>
    <x v="6"/>
    <x v="6"/>
    <x v="6"/>
    <n v="61760"/>
    <n v="61660"/>
    <n v="235"/>
    <s v="#PepsiCoRefresh"/>
    <s v="FestiveRadiance"/>
    <s v="#PepsiCoRefresh"/>
    <m/>
    <m/>
    <n v="7.0272020725388601E-2"/>
  </r>
  <r>
    <s v="P008"/>
    <x v="1"/>
    <s v="2024-07-13"/>
    <x v="4"/>
    <s v="Check out our latest image on youtube!"/>
    <x v="7"/>
    <x v="7"/>
    <x v="7"/>
    <n v="43219"/>
    <n v="42841"/>
    <n v="39"/>
    <s v="#ThirstyForMore"/>
    <s v="DailyWellness"/>
    <s v="#ThirstyForMore"/>
    <m/>
    <m/>
    <n v="0.10340359564080613"/>
  </r>
  <r>
    <s v="P009"/>
    <x v="3"/>
    <s v="2024-08-30"/>
    <x v="1"/>
    <s v="Check out our latest text on facebook!"/>
    <x v="8"/>
    <x v="8"/>
    <x v="8"/>
    <n v="56760"/>
    <n v="56343"/>
    <n v="131"/>
    <s v="#PepsiCoRefresh"/>
    <s v="FestiveRadiance"/>
    <s v="#PepsiCoRefresh"/>
    <m/>
    <m/>
    <n v="8.8019732205778717E-2"/>
  </r>
  <r>
    <s v="P010"/>
    <x v="3"/>
    <s v="2025-03-11"/>
    <x v="4"/>
    <s v="Check out our latest image on facebook!"/>
    <x v="9"/>
    <x v="9"/>
    <x v="9"/>
    <n v="72097"/>
    <n v="71598"/>
    <n v="167"/>
    <s v="#PepsiCoRefresh"/>
    <s v="FestiveRadiance"/>
    <s v="#PepsiCoRefresh"/>
    <m/>
    <m/>
    <n v="7.198635172059864E-2"/>
  </r>
  <r>
    <s v="P011"/>
    <x v="2"/>
    <s v="2025-02-02"/>
    <x v="2"/>
    <s v="Check out our latest story on instagram!"/>
    <x v="10"/>
    <x v="10"/>
    <x v="10"/>
    <n v="25088"/>
    <n v="24675"/>
    <n v="65"/>
    <s v="#LiveForNow"/>
    <s v="DailyWellness"/>
    <s v="#LiveForNow"/>
    <m/>
    <m/>
    <n v="0.11571269132653061"/>
  </r>
  <r>
    <s v="P012"/>
    <x v="3"/>
    <s v="2024-07-21"/>
    <x v="0"/>
    <s v="Check out our latest reel on facebook!"/>
    <x v="11"/>
    <x v="11"/>
    <x v="11"/>
    <n v="23352"/>
    <n v="22982"/>
    <n v="213"/>
    <s v="#LiveForNow"/>
    <s v="NewYearRefresh"/>
    <s v="#LiveForNow"/>
    <m/>
    <m/>
    <n v="0.12885405960945528"/>
  </r>
  <r>
    <s v="P013"/>
    <x v="1"/>
    <s v="2024-11-18"/>
    <x v="3"/>
    <s v="Check out our latest carousel on youtube!"/>
    <x v="12"/>
    <x v="12"/>
    <x v="12"/>
    <n v="22249"/>
    <n v="21282"/>
    <n v="114"/>
    <s v="#ThirstyForMore"/>
    <s v="SummerSplash"/>
    <s v="#ThirstyForMore"/>
    <m/>
    <m/>
    <n v="7.5868578363072495E-2"/>
  </r>
  <r>
    <s v="P014"/>
    <x v="3"/>
    <s v="2025-02-16"/>
    <x v="2"/>
    <s v="Check out our latest story on facebook!"/>
    <x v="13"/>
    <x v="13"/>
    <x v="13"/>
    <n v="33936"/>
    <n v="33802"/>
    <n v="265"/>
    <s v="#LiveForNow"/>
    <m/>
    <s v="#LiveForNow"/>
    <m/>
    <m/>
    <n v="0.14521452145214522"/>
  </r>
  <r>
    <s v="P015"/>
    <x v="3"/>
    <s v="2024-10-24"/>
    <x v="5"/>
    <s v="Check out our latest video on facebook!"/>
    <x v="14"/>
    <x v="14"/>
    <x v="14"/>
    <n v="77760"/>
    <n v="77167"/>
    <n v="20"/>
    <s v="#LiveForNow"/>
    <s v="SummerSplash"/>
    <s v="#LiveForNow"/>
    <m/>
    <m/>
    <n v="5.941358024691358E-2"/>
  </r>
  <r>
    <s v="P016"/>
    <x v="3"/>
    <s v="2024-08-26"/>
    <x v="1"/>
    <s v="Check out our latest text on facebook!"/>
    <x v="15"/>
    <x v="15"/>
    <x v="15"/>
    <n v="55232"/>
    <n v="55075"/>
    <n v="87"/>
    <s v="#LiveForNow"/>
    <s v="NewYearRefresh"/>
    <s v="#LiveForNow"/>
    <m/>
    <m/>
    <n v="7.5843713789107758E-2"/>
  </r>
  <r>
    <s v="P017"/>
    <x v="3"/>
    <s v="2025-05-05"/>
    <x v="1"/>
    <s v="Check out our latest text on facebook!"/>
    <x v="16"/>
    <x v="16"/>
    <x v="16"/>
    <n v="53292"/>
    <n v="53082"/>
    <n v="159"/>
    <s v="#ThirstyForMore"/>
    <s v="DailyWellness"/>
    <s v="#ThirstyForMore"/>
    <m/>
    <m/>
    <n v="9.4235532537716729E-2"/>
  </r>
  <r>
    <s v="P018"/>
    <x v="2"/>
    <s v="2024-08-19"/>
    <x v="0"/>
    <s v="Check out our latest reel on instagram!"/>
    <x v="17"/>
    <x v="17"/>
    <x v="17"/>
    <n v="36000"/>
    <n v="35819"/>
    <n v="19"/>
    <s v="#LiveForNow"/>
    <s v="SummerSplash"/>
    <s v="#LiveForNow"/>
    <m/>
    <m/>
    <n v="0.10297222222222223"/>
  </r>
  <r>
    <s v="P019"/>
    <x v="2"/>
    <s v="2024-06-23"/>
    <x v="5"/>
    <s v="Check out our latest video on instagram!"/>
    <x v="18"/>
    <x v="18"/>
    <x v="18"/>
    <n v="16065"/>
    <n v="15865"/>
    <n v="103"/>
    <s v="#PepsiCoRefresh"/>
    <s v="DailyWellness"/>
    <s v="#PepsiCoRefresh"/>
    <m/>
    <m/>
    <n v="0.10034235916588857"/>
  </r>
  <r>
    <s v="P020"/>
    <x v="2"/>
    <s v="2024-09-09"/>
    <x v="3"/>
    <s v="Check out our latest carousel on instagram!"/>
    <x v="1"/>
    <x v="19"/>
    <x v="19"/>
    <n v="77026"/>
    <n v="76881"/>
    <n v="25"/>
    <s v="#PepsiCoRefresh"/>
    <s v="SummerSplash"/>
    <s v="#PepsiCoRefresh"/>
    <m/>
    <m/>
    <n v="6.3809622724794221E-2"/>
  </r>
  <r>
    <s v="P021"/>
    <x v="2"/>
    <s v="2025-01-04"/>
    <x v="0"/>
    <s v="Check out our latest reel on instagram!"/>
    <x v="19"/>
    <x v="20"/>
    <x v="14"/>
    <n v="72570"/>
    <n v="72396"/>
    <n v="83"/>
    <s v="#LiveForNow"/>
    <s v="DailyWellness"/>
    <s v="#LiveForNow"/>
    <m/>
    <m/>
    <n v="7.7249552156538517E-2"/>
  </r>
  <r>
    <s v="P022"/>
    <x v="3"/>
    <s v="2025-02-27"/>
    <x v="1"/>
    <s v="Check out our latest text on facebook!"/>
    <x v="20"/>
    <x v="21"/>
    <x v="20"/>
    <n v="25120"/>
    <n v="24613"/>
    <n v="133"/>
    <s v="#PepsiCoRefresh"/>
    <s v="DailyWellness"/>
    <s v="#PepsiCoRefresh"/>
    <m/>
    <m/>
    <n v="8.0294585987261149E-2"/>
  </r>
  <r>
    <s v="P023"/>
    <x v="3"/>
    <s v="2024-11-06"/>
    <x v="5"/>
    <s v="Check out our latest video on facebook!"/>
    <x v="21"/>
    <x v="22"/>
    <x v="21"/>
    <n v="32120"/>
    <n v="31736"/>
    <n v="225"/>
    <s v="#PepsiCoRefresh,#AnytimeIsPepsiTime"/>
    <s v="FestiveRadiance"/>
    <s v="#PepsiCoRefresh"/>
    <s v="#AnytimeIsPepsiTime"/>
    <m/>
    <n v="7.6867995018679955E-2"/>
  </r>
  <r>
    <s v="P024"/>
    <x v="3"/>
    <s v="2025-01-23"/>
    <x v="5"/>
    <s v="Check out our latest video on facebook!"/>
    <x v="22"/>
    <x v="23"/>
    <x v="13"/>
    <n v="67337"/>
    <n v="66615"/>
    <n v="161"/>
    <s v="#LiveForNow"/>
    <s v="NewYearRefresh"/>
    <s v="#LiveForNow"/>
    <m/>
    <m/>
    <n v="7.2070332803659209E-2"/>
  </r>
  <r>
    <s v="P025"/>
    <x v="0"/>
    <s v="2025-04-10"/>
    <x v="3"/>
    <s v="Check out our latest carousel on twitter!"/>
    <x v="23"/>
    <x v="24"/>
    <x v="22"/>
    <n v="59432"/>
    <n v="59182"/>
    <n v="238"/>
    <s v="#ThirstyForMore"/>
    <m/>
    <s v="#ThirstyForMore"/>
    <m/>
    <m/>
    <n v="5.9496567505720827E-2"/>
  </r>
  <r>
    <s v="P026"/>
    <x v="1"/>
    <s v="2025-04-05"/>
    <x v="0"/>
    <s v="Check out our latest reel on youtube!"/>
    <x v="24"/>
    <x v="25"/>
    <x v="23"/>
    <n v="42126"/>
    <n v="41309"/>
    <n v="211"/>
    <s v="#LiveForNow"/>
    <s v="FestiveRadiance"/>
    <s v="#LiveForNow"/>
    <m/>
    <m/>
    <n v="8.9730807577268201E-2"/>
  </r>
  <r>
    <s v="P027"/>
    <x v="1"/>
    <s v="2024-09-17"/>
    <x v="1"/>
    <s v="Check out our latest text on youtube!"/>
    <x v="25"/>
    <x v="26"/>
    <x v="24"/>
    <n v="33216"/>
    <n v="32244"/>
    <n v="51"/>
    <s v="#LiveForNow"/>
    <s v="DailyWellness"/>
    <s v="#LiveForNow"/>
    <m/>
    <m/>
    <n v="7.1501685934489398E-2"/>
  </r>
  <r>
    <s v="P028"/>
    <x v="2"/>
    <s v="2025-03-04"/>
    <x v="5"/>
    <s v="Check out our latest video on instagram!"/>
    <x v="26"/>
    <x v="27"/>
    <x v="25"/>
    <n v="6912"/>
    <n v="6259"/>
    <n v="79"/>
    <s v="#LiveForNow"/>
    <s v="DailyWellness"/>
    <s v="#LiveForNow"/>
    <m/>
    <m/>
    <n v="0.17057291666666666"/>
  </r>
  <r>
    <s v="P029"/>
    <x v="2"/>
    <s v="2025-01-31"/>
    <x v="3"/>
    <s v="Check out our latest carousel on instagram!"/>
    <x v="27"/>
    <x v="28"/>
    <x v="26"/>
    <n v="12830"/>
    <n v="12264"/>
    <n v="221"/>
    <s v="#LiveForNow"/>
    <s v="NewYearRefresh"/>
    <s v="#LiveForNow"/>
    <m/>
    <m/>
    <n v="0.21208106001558846"/>
  </r>
  <r>
    <s v="P030"/>
    <x v="2"/>
    <s v="2025-02-25"/>
    <x v="5"/>
    <s v="Check out our latest video on instagram!"/>
    <x v="28"/>
    <x v="29"/>
    <x v="27"/>
    <n v="55710"/>
    <n v="54808"/>
    <n v="93"/>
    <s v="#ThirstyForMore"/>
    <m/>
    <s v="#ThirstyForMore"/>
    <m/>
    <m/>
    <n v="5.7655717106444085E-2"/>
  </r>
  <r>
    <s v="P031"/>
    <x v="2"/>
    <s v="2024-12-16"/>
    <x v="1"/>
    <s v="Check out our latest text on instagram!"/>
    <x v="29"/>
    <x v="30"/>
    <x v="28"/>
    <n v="3066"/>
    <n v="2701"/>
    <n v="282"/>
    <s v="#PepsiCoRefresh"/>
    <s v="FestiveRadiance"/>
    <s v="#PepsiCoRefresh"/>
    <m/>
    <m/>
    <n v="0.28245270711024134"/>
  </r>
  <r>
    <s v="P032"/>
    <x v="0"/>
    <s v="2024-07-31"/>
    <x v="3"/>
    <s v="Check out our latest carousel on twitter!"/>
    <x v="30"/>
    <x v="31"/>
    <x v="29"/>
    <n v="13668"/>
    <n v="12676"/>
    <n v="275"/>
    <s v="#ThirstyForMore"/>
    <s v="SummerSplash"/>
    <s v="#ThirstyForMore"/>
    <m/>
    <m/>
    <n v="0.19088381621305239"/>
  </r>
  <r>
    <s v="P033"/>
    <x v="3"/>
    <s v="2024-08-21"/>
    <x v="4"/>
    <s v="Check out our latest image on facebook!"/>
    <x v="31"/>
    <x v="32"/>
    <x v="30"/>
    <n v="16884"/>
    <n v="15954"/>
    <n v="113"/>
    <s v="#PepsiCoRefresh"/>
    <s v="SummerSplash"/>
    <s v="#PepsiCoRefresh"/>
    <m/>
    <m/>
    <n v="0.12781331438047855"/>
  </r>
  <r>
    <s v="P034"/>
    <x v="3"/>
    <s v="2025-03-26"/>
    <x v="1"/>
    <s v="Check out our latest text on facebook!"/>
    <x v="32"/>
    <x v="33"/>
    <x v="31"/>
    <n v="29736"/>
    <n v="28771"/>
    <n v="215"/>
    <s v="#PepsiCoRefresh"/>
    <s v="NewYearRefresh"/>
    <s v="#PepsiCoRefresh"/>
    <m/>
    <m/>
    <n v="7.055421038471886E-2"/>
  </r>
  <r>
    <s v="P035"/>
    <x v="2"/>
    <s v="2024-11-30"/>
    <x v="5"/>
    <s v="Check out our latest video on instagram!"/>
    <x v="33"/>
    <x v="34"/>
    <x v="32"/>
    <n v="33975"/>
    <n v="33310"/>
    <n v="271"/>
    <s v="#LiveForNow"/>
    <s v="FestiveRadiance"/>
    <s v="#LiveForNow"/>
    <m/>
    <m/>
    <n v="0.11861662987490802"/>
  </r>
  <r>
    <s v="P036"/>
    <x v="2"/>
    <s v="2025-04-19"/>
    <x v="2"/>
    <s v="Check out our latest story on instagram!"/>
    <x v="34"/>
    <x v="35"/>
    <x v="33"/>
    <n v="67770"/>
    <n v="67621"/>
    <n v="31"/>
    <s v="#ThirstyForMore"/>
    <s v="FestiveRadiance"/>
    <s v="#ThirstyForMore"/>
    <m/>
    <m/>
    <n v="7.6523535487678915E-2"/>
  </r>
  <r>
    <s v="P037"/>
    <x v="3"/>
    <s v="2025-01-06"/>
    <x v="3"/>
    <s v="Check out our latest carousel on facebook!"/>
    <x v="35"/>
    <x v="36"/>
    <x v="34"/>
    <n v="24192"/>
    <n v="23518"/>
    <n v="36"/>
    <s v="#ThirstyForMore"/>
    <s v="FestiveRadiance"/>
    <s v="#ThirstyForMore"/>
    <m/>
    <m/>
    <n v="0.17770337301587302"/>
  </r>
  <r>
    <s v="P038"/>
    <x v="1"/>
    <s v="2025-02-17"/>
    <x v="0"/>
    <s v="Check out our latest reel on youtube!"/>
    <x v="36"/>
    <x v="37"/>
    <x v="35"/>
    <n v="28242"/>
    <n v="27550"/>
    <n v="87"/>
    <s v="#PepsiCoRefresh"/>
    <s v="DailyWellness"/>
    <s v="#PepsiCoRefresh"/>
    <m/>
    <m/>
    <n v="0.12577012959422137"/>
  </r>
  <r>
    <s v="P039"/>
    <x v="3"/>
    <s v="2024-11-25"/>
    <x v="4"/>
    <s v="Check out our latest image on facebook!"/>
    <x v="37"/>
    <x v="38"/>
    <x v="36"/>
    <n v="60588"/>
    <n v="59627"/>
    <n v="92"/>
    <s v="#PepsiCoRefresh"/>
    <m/>
    <s v="#PepsiCoRefresh"/>
    <m/>
    <m/>
    <n v="7.2126493695121141E-2"/>
  </r>
  <r>
    <s v="P040"/>
    <x v="0"/>
    <s v="2025-03-07"/>
    <x v="4"/>
    <s v="Check out our latest image on twitter!"/>
    <x v="38"/>
    <x v="39"/>
    <x v="37"/>
    <n v="38000"/>
    <n v="37792"/>
    <n v="299"/>
    <s v="#ThirstyForMore"/>
    <s v="DailyWellness"/>
    <s v="#ThirstyForMore"/>
    <m/>
    <m/>
    <n v="0.13989473684210527"/>
  </r>
  <r>
    <s v="P041"/>
    <x v="2"/>
    <s v="2025-03-08"/>
    <x v="0"/>
    <s v="Check out our latest reel on instagram!"/>
    <x v="39"/>
    <x v="38"/>
    <x v="38"/>
    <n v="8208"/>
    <n v="7377"/>
    <n v="205"/>
    <s v="#LiveForNow"/>
    <s v="DailyWellness"/>
    <s v="#LiveForNow"/>
    <m/>
    <m/>
    <n v="0.18433235867446393"/>
  </r>
  <r>
    <s v="P042"/>
    <x v="1"/>
    <s v="2025-03-05"/>
    <x v="0"/>
    <s v="Check out our latest reel on youtube!"/>
    <x v="40"/>
    <x v="40"/>
    <x v="39"/>
    <n v="12344"/>
    <n v="11496"/>
    <n v="241"/>
    <s v="#ThirstyForMore"/>
    <m/>
    <s v="#ThirstyForMore"/>
    <m/>
    <m/>
    <n v="0.21840570317563188"/>
  </r>
  <r>
    <s v="P043"/>
    <x v="2"/>
    <s v="2024-12-14"/>
    <x v="3"/>
    <s v="Check out our latest carousel on instagram!"/>
    <x v="41"/>
    <x v="41"/>
    <x v="40"/>
    <n v="13044"/>
    <n v="12206"/>
    <n v="137"/>
    <s v="#PepsiCoRefresh"/>
    <s v="NewYearRefresh"/>
    <s v="#PepsiCoRefresh"/>
    <m/>
    <m/>
    <n v="0.21826126954921804"/>
  </r>
  <r>
    <s v="P044"/>
    <x v="0"/>
    <s v="2025-03-02"/>
    <x v="4"/>
    <s v="Check out our latest image on twitter!"/>
    <x v="42"/>
    <x v="42"/>
    <x v="0"/>
    <n v="35370"/>
    <n v="34475"/>
    <n v="216"/>
    <s v="#PepsiCoRefresh"/>
    <m/>
    <s v="#PepsiCoRefresh"/>
    <m/>
    <m/>
    <n v="9.8558100084817649E-2"/>
  </r>
  <r>
    <s v="P045"/>
    <x v="3"/>
    <s v="2024-11-01"/>
    <x v="5"/>
    <s v="Check out our latest video on facebook!"/>
    <x v="43"/>
    <x v="43"/>
    <x v="41"/>
    <n v="50565"/>
    <n v="49816"/>
    <n v="176"/>
    <s v="#LiveForNow"/>
    <s v="SummerSplash"/>
    <s v="#LiveForNow"/>
    <m/>
    <m/>
    <n v="7.5229902106199939E-2"/>
  </r>
  <r>
    <s v="P046"/>
    <x v="0"/>
    <s v="2025-05-02"/>
    <x v="5"/>
    <s v="Check out our latest video on twitter!"/>
    <x v="44"/>
    <x v="44"/>
    <x v="42"/>
    <n v="8864"/>
    <n v="8710"/>
    <n v="97"/>
    <s v="#PepsiCoRefresh"/>
    <s v="DailyWellness"/>
    <s v="#PepsiCoRefresh"/>
    <m/>
    <m/>
    <n v="0.16888537906137185"/>
  </r>
  <r>
    <s v="P047"/>
    <x v="0"/>
    <s v="2025-02-24"/>
    <x v="3"/>
    <s v="Check out our latest carousel on twitter!"/>
    <x v="45"/>
    <x v="45"/>
    <x v="43"/>
    <n v="21632"/>
    <n v="20792"/>
    <n v="127"/>
    <s v="#LiveForNow"/>
    <m/>
    <s v="#LiveForNow"/>
    <m/>
    <m/>
    <n v="0.16683616863905326"/>
  </r>
  <r>
    <s v="P048"/>
    <x v="0"/>
    <s v="2025-03-11"/>
    <x v="2"/>
    <s v="Check out our latest story on twitter!"/>
    <x v="46"/>
    <x v="46"/>
    <x v="44"/>
    <n v="37050"/>
    <n v="36272"/>
    <n v="119"/>
    <s v="#PepsiCoRefresh"/>
    <m/>
    <s v="#PepsiCoRefresh"/>
    <m/>
    <m/>
    <n v="7.349527665317139E-2"/>
  </r>
  <r>
    <s v="P049"/>
    <x v="0"/>
    <s v="2024-06-10"/>
    <x v="2"/>
    <s v="Check out our latest story on twitter!"/>
    <x v="47"/>
    <x v="47"/>
    <x v="45"/>
    <n v="28132"/>
    <n v="27361"/>
    <n v="177"/>
    <s v="#PepsiCoRefresh"/>
    <s v="DailyWellness"/>
    <s v="#PepsiCoRefresh"/>
    <m/>
    <m/>
    <n v="0.10617801791554102"/>
  </r>
  <r>
    <s v="P050"/>
    <x v="1"/>
    <s v="2024-07-03"/>
    <x v="2"/>
    <s v="Check out our latest story on youtube!"/>
    <x v="48"/>
    <x v="48"/>
    <x v="46"/>
    <n v="22032"/>
    <n v="21288"/>
    <n v="112"/>
    <s v="#PepsiCoRefresh"/>
    <s v="NewYearRefresh"/>
    <s v="#PepsiCoRefresh"/>
    <m/>
    <m/>
    <n v="0.13498547567175018"/>
  </r>
  <r>
    <s v="P051"/>
    <x v="3"/>
    <s v="2024-06-13"/>
    <x v="3"/>
    <s v="Check out our latest carousel on facebook!"/>
    <x v="49"/>
    <x v="49"/>
    <x v="32"/>
    <n v="37400"/>
    <n v="36938"/>
    <n v="225"/>
    <s v="#LiveForNow"/>
    <s v="FestiveRadiance"/>
    <s v="#LiveForNow"/>
    <m/>
    <m/>
    <n v="7.8689839572192513E-2"/>
  </r>
  <r>
    <s v="P052"/>
    <x v="3"/>
    <s v="2025-01-03"/>
    <x v="4"/>
    <s v="Check out our latest image on facebook!"/>
    <x v="50"/>
    <x v="50"/>
    <x v="34"/>
    <n v="10417"/>
    <n v="9730"/>
    <n v="34"/>
    <s v="#PepsiCoRefresh"/>
    <s v="DailyWellness"/>
    <s v="#PepsiCoRefresh"/>
    <m/>
    <m/>
    <n v="0.1569549774407219"/>
  </r>
  <r>
    <s v="P053"/>
    <x v="1"/>
    <s v="2025-02-24"/>
    <x v="3"/>
    <s v="Check out our latest carousel on youtube!"/>
    <x v="51"/>
    <x v="51"/>
    <x v="47"/>
    <n v="4020"/>
    <n v="3144"/>
    <n v="11"/>
    <s v="#ThirstyForMore,#BetterWithPepsi"/>
    <m/>
    <s v="#ThirstyForMore"/>
    <s v="#BetterWithPepsi"/>
    <m/>
    <n v="0.36965174129353234"/>
  </r>
  <r>
    <s v="P054"/>
    <x v="1"/>
    <s v="2025-03-13"/>
    <x v="3"/>
    <s v="Check out our latest carousel on youtube!"/>
    <x v="52"/>
    <x v="52"/>
    <x v="48"/>
    <n v="18546"/>
    <n v="18171"/>
    <n v="52"/>
    <s v="#LiveForNow"/>
    <s v="FestiveRadiance"/>
    <s v="#LiveForNow"/>
    <m/>
    <m/>
    <n v="0.16510298716704411"/>
  </r>
  <r>
    <s v="P055"/>
    <x v="3"/>
    <s v="2024-06-17"/>
    <x v="4"/>
    <s v="Check out our latest image on facebook!"/>
    <x v="53"/>
    <x v="53"/>
    <x v="49"/>
    <n v="14712"/>
    <n v="14049"/>
    <n v="123"/>
    <s v="#ThirstyForMore"/>
    <s v="DailyWellness"/>
    <s v="#ThirstyForMore"/>
    <m/>
    <m/>
    <n v="9.1897770527460579E-2"/>
  </r>
  <r>
    <s v="P056"/>
    <x v="3"/>
    <s v="2024-12-18"/>
    <x v="3"/>
    <s v="Check out our latest carousel on facebook!"/>
    <x v="54"/>
    <x v="54"/>
    <x v="50"/>
    <n v="29460"/>
    <n v="28527"/>
    <n v="60"/>
    <s v="#LiveForNow"/>
    <s v="NewYearRefresh"/>
    <s v="#LiveForNow"/>
    <m/>
    <m/>
    <n v="0.12936184657162253"/>
  </r>
  <r>
    <s v="P057"/>
    <x v="0"/>
    <s v="2024-10-21"/>
    <x v="5"/>
    <s v="Check out our latest video on twitter!"/>
    <x v="55"/>
    <x v="55"/>
    <x v="51"/>
    <n v="45200"/>
    <n v="44739"/>
    <n v="169"/>
    <s v="#PepsiCoRefresh"/>
    <s v="SummerSplash"/>
    <s v="#PepsiCoRefresh"/>
    <m/>
    <m/>
    <n v="8.0862831858407078E-2"/>
  </r>
  <r>
    <s v="P058"/>
    <x v="2"/>
    <s v="2025-04-15"/>
    <x v="0"/>
    <s v="Check out our latest reel on instagram!"/>
    <x v="56"/>
    <x v="56"/>
    <x v="52"/>
    <n v="1030"/>
    <n v="410"/>
    <n v="262"/>
    <s v="#PepsiCoRefresh"/>
    <s v="DailyWellness"/>
    <s v="#PepsiCoRefresh"/>
    <m/>
    <m/>
    <n v="0.86601941747572819"/>
  </r>
  <r>
    <s v="P059"/>
    <x v="2"/>
    <s v="2024-06-22"/>
    <x v="1"/>
    <s v="Check out our latest text on instagram!"/>
    <x v="57"/>
    <x v="57"/>
    <x v="53"/>
    <n v="30520"/>
    <n v="30059"/>
    <n v="174"/>
    <s v="#ThirstyForMore"/>
    <m/>
    <s v="#ThirstyForMore"/>
    <m/>
    <m/>
    <n v="9.2726081258191345E-2"/>
  </r>
  <r>
    <s v="P060"/>
    <x v="2"/>
    <s v="2025-01-28"/>
    <x v="5"/>
    <s v="Check out our latest video on instagram!"/>
    <x v="58"/>
    <x v="58"/>
    <x v="54"/>
    <n v="11752"/>
    <n v="11580"/>
    <n v="84"/>
    <s v="#ThirstyForMore,#PepsiCoRefresh,#AnytimeIsPepsiTime"/>
    <s v="NewYearRefresh"/>
    <s v="#ThirstyForMore"/>
    <s v="#PepsiCoRefresh"/>
    <s v="#AnytimeIsPepsiTime"/>
    <n v="0.1650782845473111"/>
  </r>
  <r>
    <s v="P061"/>
    <x v="0"/>
    <s v="2024-09-05"/>
    <x v="5"/>
    <s v="Check out our latest video on twitter!"/>
    <x v="59"/>
    <x v="59"/>
    <x v="55"/>
    <n v="43974"/>
    <n v="43239"/>
    <n v="65"/>
    <s v="#PepsiCoRefresh"/>
    <s v="SummerSplash"/>
    <s v="#PepsiCoRefresh"/>
    <m/>
    <m/>
    <n v="0.14276618001546368"/>
  </r>
  <r>
    <s v="P062"/>
    <x v="0"/>
    <s v="2024-11-22"/>
    <x v="3"/>
    <s v="Check out our latest carousel on twitter!"/>
    <x v="60"/>
    <x v="60"/>
    <x v="56"/>
    <n v="954"/>
    <n v="7"/>
    <n v="148"/>
    <s v="#PepsiCoRefresh"/>
    <s v="NewYearRefresh"/>
    <s v="#PepsiCoRefresh"/>
    <m/>
    <m/>
    <n v="0.53773584905660377"/>
  </r>
  <r>
    <s v="P063"/>
    <x v="0"/>
    <s v="2024-07-31"/>
    <x v="3"/>
    <s v="Check out our latest carousel on twitter!"/>
    <x v="61"/>
    <x v="61"/>
    <x v="57"/>
    <n v="90140"/>
    <n v="89591"/>
    <n v="125"/>
    <s v="#LiveForNow"/>
    <s v="NewYearRefresh"/>
    <s v="#LiveForNow"/>
    <m/>
    <m/>
    <n v="5.2551586421122697E-2"/>
  </r>
  <r>
    <s v="P064"/>
    <x v="3"/>
    <s v="2024-08-17"/>
    <x v="4"/>
    <s v="Check out our latest image on facebook!"/>
    <x v="62"/>
    <x v="62"/>
    <x v="58"/>
    <n v="43170"/>
    <n v="42667"/>
    <n v="75"/>
    <s v="#LiveForNow"/>
    <s v="NewYearRefresh"/>
    <s v="#LiveForNow"/>
    <m/>
    <m/>
    <n v="8.2047718322909427E-2"/>
  </r>
  <r>
    <s v="P065"/>
    <x v="2"/>
    <s v="2025-03-28"/>
    <x v="2"/>
    <s v="Check out our latest story on instagram!"/>
    <x v="63"/>
    <x v="63"/>
    <x v="59"/>
    <n v="20691"/>
    <n v="19987"/>
    <n v="289"/>
    <s v="#ThirstyForMore"/>
    <m/>
    <s v="#ThirstyForMore"/>
    <m/>
    <m/>
    <n v="0.11990720603160794"/>
  </r>
  <r>
    <s v="P066"/>
    <x v="0"/>
    <s v="2024-07-26"/>
    <x v="3"/>
    <s v="Check out our latest carousel on twitter!"/>
    <x v="26"/>
    <x v="64"/>
    <x v="60"/>
    <n v="3024"/>
    <n v="2285"/>
    <n v="184"/>
    <s v="#ThirstyForMore"/>
    <s v="SummerSplash"/>
    <s v="#ThirstyForMore"/>
    <m/>
    <m/>
    <n v="0.29199735449735448"/>
  </r>
  <r>
    <s v="P067"/>
    <x v="3"/>
    <s v="2025-03-29"/>
    <x v="3"/>
    <s v="Check out our latest carousel on facebook!"/>
    <x v="64"/>
    <x v="65"/>
    <x v="61"/>
    <n v="84816"/>
    <n v="84691"/>
    <n v="100"/>
    <s v="#ThirstyForMore"/>
    <s v="NewYearRefresh"/>
    <s v="#ThirstyForMore"/>
    <m/>
    <m/>
    <n v="6.3749764195434822E-2"/>
  </r>
  <r>
    <s v="P068"/>
    <x v="2"/>
    <s v="2024-12-08"/>
    <x v="2"/>
    <s v="Check out our latest story on instagram!"/>
    <x v="65"/>
    <x v="66"/>
    <x v="62"/>
    <n v="15660"/>
    <n v="15145"/>
    <n v="73"/>
    <s v="#ThirstyForMore"/>
    <m/>
    <s v="#ThirstyForMore"/>
    <m/>
    <m/>
    <n v="0.19310344827586207"/>
  </r>
  <r>
    <s v="P069"/>
    <x v="0"/>
    <s v="2025-03-08"/>
    <x v="1"/>
    <s v="Check out our latest text on twitter!"/>
    <x v="66"/>
    <x v="67"/>
    <x v="63"/>
    <n v="25840"/>
    <n v="24916"/>
    <n v="149"/>
    <s v="#LiveForNow"/>
    <s v="NewYearRefresh"/>
    <s v="#LiveForNow"/>
    <m/>
    <m/>
    <n v="9.3421052631578946E-2"/>
  </r>
  <r>
    <s v="P070"/>
    <x v="3"/>
    <s v="2025-04-02"/>
    <x v="5"/>
    <s v="Check out our latest video on facebook!"/>
    <x v="67"/>
    <x v="68"/>
    <x v="64"/>
    <n v="3582"/>
    <n v="2988"/>
    <n v="43"/>
    <s v="#PepsiCoRefresh"/>
    <m/>
    <s v="#PepsiCoRefresh"/>
    <m/>
    <m/>
    <n v="0.38274706867671693"/>
  </r>
  <r>
    <s v="P071"/>
    <x v="1"/>
    <s v="2024-09-02"/>
    <x v="3"/>
    <s v="Check out our latest carousel on youtube!"/>
    <x v="68"/>
    <x v="69"/>
    <x v="65"/>
    <n v="30612"/>
    <n v="30360"/>
    <n v="227"/>
    <s v="#PepsiCoRefresh"/>
    <s v="FestiveRadiance"/>
    <s v="#PepsiCoRefresh"/>
    <m/>
    <m/>
    <n v="0.1199202926956749"/>
  </r>
  <r>
    <s v="P072"/>
    <x v="1"/>
    <s v="2025-03-03"/>
    <x v="0"/>
    <s v="Check out our latest reel on youtube!"/>
    <x v="69"/>
    <x v="70"/>
    <x v="66"/>
    <n v="5624"/>
    <n v="5239"/>
    <n v="88"/>
    <s v="#ThirstyForMore"/>
    <s v="FestiveRadiance"/>
    <s v="#ThirstyForMore"/>
    <m/>
    <m/>
    <n v="8.837126600284495E-2"/>
  </r>
  <r>
    <s v="P073"/>
    <x v="3"/>
    <s v="2024-10-18"/>
    <x v="2"/>
    <s v="Check out our latest story on facebook!"/>
    <x v="70"/>
    <x v="71"/>
    <x v="67"/>
    <n v="78394"/>
    <n v="77798"/>
    <n v="88"/>
    <s v="#LiveForNow"/>
    <s v="DailyWellness"/>
    <s v="#LiveForNow"/>
    <m/>
    <m/>
    <n v="6.4265122330790625E-2"/>
  </r>
  <r>
    <s v="P074"/>
    <x v="1"/>
    <s v="2024-10-28"/>
    <x v="0"/>
    <s v="Check out our latest reel on youtube!"/>
    <x v="71"/>
    <x v="72"/>
    <x v="68"/>
    <n v="16695"/>
    <n v="16330"/>
    <n v="123"/>
    <s v="#PepsiCoRefresh"/>
    <s v="NewYearRefresh"/>
    <s v="#PepsiCoRefresh"/>
    <m/>
    <m/>
    <n v="0.13351302785265048"/>
  </r>
  <r>
    <s v="P075"/>
    <x v="2"/>
    <s v="2024-08-01"/>
    <x v="0"/>
    <s v="Check out our latest reel on instagram!"/>
    <x v="72"/>
    <x v="73"/>
    <x v="26"/>
    <n v="21762"/>
    <n v="20998"/>
    <n v="255"/>
    <s v="#PepsiCoRefresh"/>
    <s v="DailyWellness"/>
    <s v="#PepsiCoRefresh"/>
    <m/>
    <m/>
    <n v="0.12131237937689551"/>
  </r>
  <r>
    <s v="P076"/>
    <x v="0"/>
    <s v="2024-11-07"/>
    <x v="2"/>
    <s v="Check out our latest story on twitter!"/>
    <x v="73"/>
    <x v="74"/>
    <x v="69"/>
    <n v="15694"/>
    <n v="14957"/>
    <n v="99"/>
    <s v="#PepsiCoRefresh"/>
    <s v="DailyWellness"/>
    <s v="#PepsiCoRefresh"/>
    <m/>
    <m/>
    <n v="8.1177520071364848E-2"/>
  </r>
  <r>
    <s v="P077"/>
    <x v="3"/>
    <s v="2025-03-04"/>
    <x v="2"/>
    <s v="Check out our latest story on facebook!"/>
    <x v="74"/>
    <x v="75"/>
    <x v="70"/>
    <n v="8743"/>
    <n v="8538"/>
    <n v="63"/>
    <s v="#PepsiCoRefresh"/>
    <m/>
    <s v="#PepsiCoRefresh"/>
    <m/>
    <m/>
    <n v="0.20416333066453163"/>
  </r>
  <r>
    <s v="P078"/>
    <x v="0"/>
    <s v="2024-06-17"/>
    <x v="4"/>
    <s v="Check out our latest image on twitter!"/>
    <x v="75"/>
    <x v="76"/>
    <x v="62"/>
    <n v="19080"/>
    <n v="18859"/>
    <n v="21"/>
    <s v="#LiveForNow"/>
    <s v="DailyWellness"/>
    <s v="#LiveForNow"/>
    <m/>
    <m/>
    <n v="8.2075471698113203E-2"/>
  </r>
  <r>
    <s v="P079"/>
    <x v="2"/>
    <s v="2024-10-09"/>
    <x v="3"/>
    <s v="Check out our latest carousel on instagram!"/>
    <x v="76"/>
    <x v="77"/>
    <x v="71"/>
    <n v="39884"/>
    <n v="39404"/>
    <n v="266"/>
    <s v="#ThirstyForMore"/>
    <s v="FestiveRadiance"/>
    <s v="#ThirstyForMore"/>
    <m/>
    <m/>
    <n v="8.860696018453515E-2"/>
  </r>
  <r>
    <s v="P080"/>
    <x v="2"/>
    <s v="2024-06-13"/>
    <x v="2"/>
    <s v="Check out our latest story on instagram!"/>
    <x v="77"/>
    <x v="78"/>
    <x v="72"/>
    <n v="39957"/>
    <n v="39466"/>
    <n v="28"/>
    <s v="#LiveForNow"/>
    <m/>
    <s v="#LiveForNow"/>
    <m/>
    <m/>
    <n v="7.7533348349475686E-2"/>
  </r>
  <r>
    <s v="P081"/>
    <x v="2"/>
    <s v="2024-10-19"/>
    <x v="2"/>
    <s v="Check out our latest story on instagram!"/>
    <x v="78"/>
    <x v="79"/>
    <x v="73"/>
    <n v="19976"/>
    <n v="19262"/>
    <n v="283"/>
    <s v="#PepsiCoRefresh"/>
    <s v="NewYearRefresh"/>
    <s v="#PepsiCoRefresh"/>
    <m/>
    <m/>
    <n v="9.4413295955146179E-2"/>
  </r>
  <r>
    <s v="P082"/>
    <x v="2"/>
    <s v="2024-07-24"/>
    <x v="4"/>
    <s v="Check out our latest image on instagram!"/>
    <x v="79"/>
    <x v="80"/>
    <x v="38"/>
    <n v="14500"/>
    <n v="13637"/>
    <n v="200"/>
    <s v="#LiveForNow,#PepsiCoRefresh,#AnytimeIsPepsiTime"/>
    <s v="NewYearRefresh"/>
    <s v="#LiveForNow"/>
    <s v="#PepsiCoRefresh"/>
    <s v="#AnytimeIsPepsiTime"/>
    <n v="8.558620689655172E-2"/>
  </r>
  <r>
    <s v="P083"/>
    <x v="1"/>
    <s v="2024-10-15"/>
    <x v="5"/>
    <s v="Check out our latest video on youtube!"/>
    <x v="80"/>
    <x v="81"/>
    <x v="74"/>
    <n v="9846"/>
    <n v="9609"/>
    <n v="112"/>
    <s v="#ThirstyForMore"/>
    <m/>
    <s v="#ThirstyForMore"/>
    <m/>
    <m/>
    <n v="0.16118220597196831"/>
  </r>
  <r>
    <s v="P084"/>
    <x v="3"/>
    <s v="2024-12-09"/>
    <x v="4"/>
    <s v="Check out our latest image on facebook!"/>
    <x v="81"/>
    <x v="82"/>
    <x v="75"/>
    <n v="34979"/>
    <n v="34154"/>
    <n v="255"/>
    <s v="#LiveForNow"/>
    <s v="DailyWellness"/>
    <s v="#LiveForNow"/>
    <m/>
    <m/>
    <n v="8.6737756939878216E-2"/>
  </r>
  <r>
    <s v="P085"/>
    <x v="2"/>
    <s v="2025-04-19"/>
    <x v="4"/>
    <s v="Check out our latest image on instagram!"/>
    <x v="82"/>
    <x v="83"/>
    <x v="76"/>
    <n v="25062"/>
    <n v="24847"/>
    <n v="230"/>
    <s v="#LiveForNow"/>
    <s v="SummerSplash"/>
    <s v="#LiveForNow"/>
    <m/>
    <m/>
    <n v="0.19156491900087783"/>
  </r>
  <r>
    <s v="P086"/>
    <x v="1"/>
    <s v="2025-01-27"/>
    <x v="1"/>
    <s v="Check out our latest text on youtube!"/>
    <x v="83"/>
    <x v="84"/>
    <x v="77"/>
    <n v="58276"/>
    <n v="58052"/>
    <n v="242"/>
    <s v="#ThirstyForMore,#BetterWithPepsi"/>
    <s v="DailyWellness"/>
    <s v="#ThirstyForMore"/>
    <s v="#BetterWithPepsi"/>
    <m/>
    <n v="6.5515821264328367E-2"/>
  </r>
  <r>
    <s v="P087"/>
    <x v="0"/>
    <s v="2024-06-06"/>
    <x v="5"/>
    <s v="Check out our latest video on twitter!"/>
    <x v="84"/>
    <x v="85"/>
    <x v="63"/>
    <n v="12924"/>
    <n v="12701"/>
    <n v="197"/>
    <s v="#LiveForNow"/>
    <s v="NewYearRefresh"/>
    <s v="#LiveForNow"/>
    <m/>
    <m/>
    <n v="0.20868152274837512"/>
  </r>
  <r>
    <s v="P088"/>
    <x v="3"/>
    <s v="2024-07-07"/>
    <x v="2"/>
    <s v="Check out our latest story on facebook!"/>
    <x v="85"/>
    <x v="86"/>
    <x v="78"/>
    <n v="5738"/>
    <n v="4890"/>
    <n v="25"/>
    <s v="#PepsiCoRefresh"/>
    <s v="DailyWellness"/>
    <s v="#PepsiCoRefresh"/>
    <m/>
    <m/>
    <n v="0.13576158940397351"/>
  </r>
  <r>
    <s v="P089"/>
    <x v="0"/>
    <s v="2025-01-10"/>
    <x v="4"/>
    <s v="Check out our latest image on twitter!"/>
    <x v="86"/>
    <x v="87"/>
    <x v="79"/>
    <n v="15498"/>
    <n v="14800"/>
    <n v="180"/>
    <s v="#ThirstyForMore"/>
    <m/>
    <s v="#ThirstyForMore"/>
    <m/>
    <m/>
    <n v="0.16873144921925409"/>
  </r>
  <r>
    <s v="P090"/>
    <x v="2"/>
    <s v="2024-06-03"/>
    <x v="4"/>
    <s v="Check out our latest image on instagram!"/>
    <x v="87"/>
    <x v="88"/>
    <x v="80"/>
    <n v="69498"/>
    <n v="68817"/>
    <n v="297"/>
    <s v="#PepsiCoRefresh"/>
    <s v="DailyWellness"/>
    <s v="#PepsiCoRefresh"/>
    <m/>
    <m/>
    <n v="7.0822181933293038E-2"/>
  </r>
  <r>
    <s v="P091"/>
    <x v="3"/>
    <s v="2025-03-24"/>
    <x v="4"/>
    <s v="Check out our latest image on facebook!"/>
    <x v="88"/>
    <x v="89"/>
    <x v="31"/>
    <n v="25260"/>
    <n v="24615"/>
    <n v="137"/>
    <s v="#ThirstyForMore"/>
    <s v="DailyWellness"/>
    <s v="#ThirstyForMore"/>
    <m/>
    <m/>
    <n v="7.984956452889945E-2"/>
  </r>
  <r>
    <s v="P092"/>
    <x v="0"/>
    <s v="2024-10-21"/>
    <x v="2"/>
    <s v="Check out our latest story on twitter!"/>
    <x v="89"/>
    <x v="90"/>
    <x v="81"/>
    <n v="38010"/>
    <n v="37625"/>
    <n v="236"/>
    <s v="#LiveForNow"/>
    <s v="NewYearRefresh"/>
    <s v="#LiveForNow"/>
    <m/>
    <m/>
    <n v="0.13599052880820836"/>
  </r>
  <r>
    <s v="P093"/>
    <x v="2"/>
    <s v="2024-12-11"/>
    <x v="5"/>
    <s v="Check out our latest video on instagram!"/>
    <x v="90"/>
    <x v="91"/>
    <x v="82"/>
    <n v="8586"/>
    <n v="8396"/>
    <n v="150"/>
    <s v="#ThirstyForMore"/>
    <s v="NewYearRefresh"/>
    <s v="#ThirstyForMore"/>
    <m/>
    <m/>
    <n v="0.28045655718611695"/>
  </r>
  <r>
    <s v="P094"/>
    <x v="2"/>
    <s v="2024-11-07"/>
    <x v="4"/>
    <s v="Check out our latest image on instagram!"/>
    <x v="91"/>
    <x v="92"/>
    <x v="83"/>
    <n v="18529"/>
    <n v="17841"/>
    <n v="46"/>
    <s v="#LiveForNow"/>
    <s v="NewYearRefresh"/>
    <s v="#LiveForNow"/>
    <m/>
    <m/>
    <n v="0.16843866371633656"/>
  </r>
  <r>
    <s v="P095"/>
    <x v="2"/>
    <s v="2024-11-08"/>
    <x v="1"/>
    <s v="Check out our latest text on instagram!"/>
    <x v="92"/>
    <x v="93"/>
    <x v="84"/>
    <n v="57276"/>
    <n v="56890"/>
    <n v="163"/>
    <s v="#LiveForNow"/>
    <s v="DailyWellness"/>
    <s v="#LiveForNow"/>
    <m/>
    <m/>
    <n v="6.8108806480899509E-2"/>
  </r>
  <r>
    <s v="P096"/>
    <x v="0"/>
    <s v="2024-09-10"/>
    <x v="4"/>
    <s v="Check out our latest image on twitter!"/>
    <x v="93"/>
    <x v="94"/>
    <x v="85"/>
    <n v="19808"/>
    <n v="19334"/>
    <n v="123"/>
    <s v="#LiveForNow"/>
    <m/>
    <s v="#LiveForNow"/>
    <m/>
    <m/>
    <n v="0.10339256865912763"/>
  </r>
  <r>
    <s v="P097"/>
    <x v="2"/>
    <s v="2024-08-13"/>
    <x v="4"/>
    <s v="Check out our latest image on instagram!"/>
    <x v="94"/>
    <x v="95"/>
    <x v="86"/>
    <n v="61607"/>
    <n v="61333"/>
    <n v="36"/>
    <s v="#PepsiCoRefresh,#AnytimeIsPepsiTime"/>
    <s v="FestiveRadiance"/>
    <s v="#PepsiCoRefresh"/>
    <s v="#AnytimeIsPepsiTime"/>
    <m/>
    <n v="8.7668609086629767E-2"/>
  </r>
  <r>
    <s v="P099"/>
    <x v="1"/>
    <s v="2024-07-02"/>
    <x v="3"/>
    <s v="Check out our latest carousel on youtube!"/>
    <x v="95"/>
    <x v="96"/>
    <x v="87"/>
    <n v="66736"/>
    <n v="66634"/>
    <n v="173"/>
    <s v="#LiveForNow"/>
    <s v="NewYearRefresh"/>
    <s v="#LiveForNow"/>
    <m/>
    <m/>
    <n v="7.2000119875329657E-2"/>
  </r>
  <r>
    <s v="P100"/>
    <x v="1"/>
    <s v="2025-02-10"/>
    <x v="5"/>
    <s v="Check out our latest video on youtube!"/>
    <x v="96"/>
    <x v="97"/>
    <x v="4"/>
    <n v="24724"/>
    <n v="24333"/>
    <n v="52"/>
    <s v="#ThirstyForMore"/>
    <m/>
    <s v="#ThirstyForMore"/>
    <m/>
    <m/>
    <n v="9.2298980747451867E-2"/>
  </r>
  <r>
    <s v="P101"/>
    <x v="1"/>
    <s v="2024-10-18"/>
    <x v="5"/>
    <s v="Check out our latest video on youtube!"/>
    <x v="97"/>
    <x v="59"/>
    <x v="88"/>
    <n v="75650"/>
    <n v="75008"/>
    <n v="12"/>
    <s v="#LiveForNow"/>
    <s v="NewYearRefresh"/>
    <s v="#LiveForNow"/>
    <m/>
    <m/>
    <n v="7.3707865168539333E-2"/>
  </r>
  <r>
    <s v="P102"/>
    <x v="0"/>
    <s v="2024-09-18"/>
    <x v="0"/>
    <s v="Check out our latest reel on twitter!"/>
    <x v="98"/>
    <x v="98"/>
    <x v="89"/>
    <n v="6000"/>
    <n v="5221"/>
    <n v="223"/>
    <s v="#ThirstyForMore"/>
    <s v="FestiveRadiance"/>
    <s v="#ThirstyForMore"/>
    <m/>
    <m/>
    <n v="0.35666666666666669"/>
  </r>
  <r>
    <s v="P103"/>
    <x v="3"/>
    <s v="2024-06-11"/>
    <x v="4"/>
    <s v="Check out our latest image on facebook!"/>
    <x v="99"/>
    <x v="99"/>
    <x v="90"/>
    <n v="40579"/>
    <n v="39588"/>
    <n v="212"/>
    <s v="#ThirstyForMore"/>
    <s v="FestiveRadiance"/>
    <s v="#ThirstyForMore"/>
    <m/>
    <m/>
    <n v="9.9632815002833983E-2"/>
  </r>
  <r>
    <s v="P104"/>
    <x v="1"/>
    <s v="2025-03-23"/>
    <x v="2"/>
    <s v="Check out our latest story on youtube!"/>
    <x v="100"/>
    <x v="65"/>
    <x v="91"/>
    <n v="32895"/>
    <n v="32015"/>
    <n v="199"/>
    <s v="#PepsiCoRefresh"/>
    <s v="NewYearRefresh"/>
    <s v="#PepsiCoRefresh"/>
    <m/>
    <m/>
    <n v="0.13707250341997265"/>
  </r>
  <r>
    <s v="P105"/>
    <x v="2"/>
    <s v="2024-06-14"/>
    <x v="3"/>
    <s v="Check out our latest carousel on instagram!"/>
    <x v="101"/>
    <x v="100"/>
    <x v="92"/>
    <n v="4482"/>
    <n v="3647"/>
    <n v="32"/>
    <s v="#LiveForNow"/>
    <s v="SummerSplash"/>
    <s v="#LiveForNow"/>
    <m/>
    <m/>
    <n v="0.12896028558679162"/>
  </r>
  <r>
    <s v="P106"/>
    <x v="2"/>
    <s v="2025-02-04"/>
    <x v="4"/>
    <s v="Check out our latest image on instagram!"/>
    <x v="102"/>
    <x v="101"/>
    <x v="93"/>
    <n v="69285"/>
    <n v="69141"/>
    <n v="298"/>
    <s v="#PepsiCoRefresh"/>
    <s v="DailyWellness"/>
    <s v="#PepsiCoRefresh"/>
    <m/>
    <m/>
    <n v="8.5718409468138843E-2"/>
  </r>
  <r>
    <s v="P107"/>
    <x v="1"/>
    <s v="2024-06-21"/>
    <x v="4"/>
    <s v="Check out our latest image on youtube!"/>
    <x v="103"/>
    <x v="102"/>
    <x v="94"/>
    <n v="91808"/>
    <n v="91296"/>
    <n v="182"/>
    <s v="#PepsiCoRefresh"/>
    <m/>
    <s v="#PepsiCoRefresh"/>
    <m/>
    <m/>
    <n v="6.2467323109097243E-2"/>
  </r>
  <r>
    <s v="P108"/>
    <x v="0"/>
    <s v="2025-03-25"/>
    <x v="5"/>
    <s v="Check out our latest video on twitter!"/>
    <x v="104"/>
    <x v="103"/>
    <x v="95"/>
    <n v="52650"/>
    <n v="51755"/>
    <n v="209"/>
    <s v="#PepsiCoRefresh"/>
    <s v="FestiveRadiance"/>
    <s v="#PepsiCoRefresh"/>
    <m/>
    <m/>
    <n v="0.10005698005698006"/>
  </r>
  <r>
    <s v="P109"/>
    <x v="0"/>
    <s v="2024-08-08"/>
    <x v="2"/>
    <s v="Check out our latest story on twitter!"/>
    <x v="105"/>
    <x v="104"/>
    <x v="96"/>
    <n v="25543"/>
    <n v="24963"/>
    <n v="167"/>
    <s v="#LiveForNow"/>
    <s v="NewYearRefresh"/>
    <s v="#LiveForNow"/>
    <m/>
    <m/>
    <n v="0.16744313510550835"/>
  </r>
  <r>
    <s v="P110"/>
    <x v="2"/>
    <s v="2024-07-29"/>
    <x v="0"/>
    <s v="Check out our latest reel on instagram!"/>
    <x v="106"/>
    <x v="105"/>
    <x v="97"/>
    <n v="38753"/>
    <n v="38579"/>
    <n v="270"/>
    <s v="#ThirstyForMore"/>
    <s v="FestiveRadiance"/>
    <s v="#ThirstyForMore"/>
    <m/>
    <m/>
    <n v="0.12277759141227776"/>
  </r>
  <r>
    <s v="P111"/>
    <x v="1"/>
    <s v="2024-11-23"/>
    <x v="4"/>
    <s v="Check out our latest image on youtube!"/>
    <x v="107"/>
    <x v="106"/>
    <x v="98"/>
    <n v="40785"/>
    <n v="40281"/>
    <n v="40"/>
    <s v="#PepsiCoRefresh"/>
    <s v="FestiveRadiance"/>
    <s v="#PepsiCoRefresh"/>
    <m/>
    <m/>
    <n v="7.4071349760941527E-2"/>
  </r>
  <r>
    <s v="P112"/>
    <x v="0"/>
    <s v="2024-10-05"/>
    <x v="2"/>
    <s v="Check out our latest story on twitter!"/>
    <x v="108"/>
    <x v="107"/>
    <x v="99"/>
    <n v="17613"/>
    <n v="16865"/>
    <n v="297"/>
    <s v="#LiveForNow"/>
    <s v="NewYearRefresh"/>
    <s v="#LiveForNow"/>
    <m/>
    <m/>
    <n v="0.17441662408448305"/>
  </r>
  <r>
    <s v="P113"/>
    <x v="0"/>
    <s v="2024-10-02"/>
    <x v="3"/>
    <s v="Check out our latest carousel on twitter!"/>
    <x v="109"/>
    <x v="108"/>
    <x v="100"/>
    <n v="44190"/>
    <n v="43582"/>
    <n v="10"/>
    <s v="#ThirstyForMore"/>
    <s v="SummerSplash"/>
    <s v="#ThirstyForMore"/>
    <m/>
    <m/>
    <n v="0.11369088028965829"/>
  </r>
  <r>
    <s v="P114"/>
    <x v="0"/>
    <s v="2024-11-14"/>
    <x v="2"/>
    <s v="Check out our latest story on twitter!"/>
    <x v="110"/>
    <x v="109"/>
    <x v="101"/>
    <n v="40000"/>
    <n v="39569"/>
    <n v="44"/>
    <s v="#LiveForNow"/>
    <s v="SummerSplash"/>
    <s v="#LiveForNow"/>
    <m/>
    <m/>
    <n v="0.12942500000000001"/>
  </r>
  <r>
    <s v="P115"/>
    <x v="0"/>
    <s v="2025-05-11"/>
    <x v="4"/>
    <s v="Check out our latest image on twitter!"/>
    <x v="111"/>
    <x v="110"/>
    <x v="102"/>
    <n v="42381"/>
    <n v="41991"/>
    <n v="242"/>
    <s v="#PepsiCoRefresh,#AnytimeIsPepsiTime"/>
    <s v="DailyWellness"/>
    <s v="#PepsiCoRefresh"/>
    <s v="#AnytimeIsPepsiTime"/>
    <m/>
    <n v="6.2150491965739366E-2"/>
  </r>
  <r>
    <s v="P116"/>
    <x v="1"/>
    <s v="2025-03-18"/>
    <x v="0"/>
    <s v="Check out our latest reel on youtube!"/>
    <x v="112"/>
    <x v="111"/>
    <x v="103"/>
    <n v="25928"/>
    <n v="25081"/>
    <n v="131"/>
    <s v="#PepsiCoRefresh"/>
    <m/>
    <s v="#PepsiCoRefresh"/>
    <m/>
    <m/>
    <n v="0.16769515581610614"/>
  </r>
  <r>
    <s v="P117"/>
    <x v="0"/>
    <s v="2024-11-04"/>
    <x v="4"/>
    <s v="Check out our latest image on twitter!"/>
    <x v="21"/>
    <x v="112"/>
    <x v="104"/>
    <n v="20878"/>
    <n v="20190"/>
    <n v="219"/>
    <s v="#ThirstyForMore"/>
    <s v="DailyWellness"/>
    <s v="#ThirstyForMore"/>
    <m/>
    <m/>
    <n v="0.11792317271769326"/>
  </r>
  <r>
    <s v="P118"/>
    <x v="3"/>
    <s v="2024-11-04"/>
    <x v="4"/>
    <s v="Check out our latest image on facebook!"/>
    <x v="113"/>
    <x v="113"/>
    <x v="105"/>
    <n v="68265"/>
    <n v="67754"/>
    <n v="57"/>
    <s v="#LiveForNow"/>
    <s v="NewYearRefresh"/>
    <s v="#LiveForNow"/>
    <m/>
    <m/>
    <n v="8.0158206987475278E-2"/>
  </r>
  <r>
    <s v="P119"/>
    <x v="2"/>
    <s v="2025-02-07"/>
    <x v="0"/>
    <s v="Check out our latest reel on instagram!"/>
    <x v="114"/>
    <x v="114"/>
    <x v="44"/>
    <n v="9850"/>
    <n v="8924"/>
    <n v="117"/>
    <s v="#LiveForNow"/>
    <m/>
    <s v="#LiveForNow"/>
    <m/>
    <m/>
    <n v="0.31705583756345179"/>
  </r>
  <r>
    <s v="P120"/>
    <x v="3"/>
    <s v="2024-10-21"/>
    <x v="2"/>
    <s v="Check out our latest story on facebook!"/>
    <x v="115"/>
    <x v="115"/>
    <x v="106"/>
    <n v="8580"/>
    <n v="8081"/>
    <n v="91"/>
    <s v="#ThirstyForMore"/>
    <s v="NewYearRefresh"/>
    <s v="#ThirstyForMore"/>
    <m/>
    <m/>
    <n v="0.23414918414918415"/>
  </r>
  <r>
    <s v="P121"/>
    <x v="2"/>
    <s v="2024-07-29"/>
    <x v="2"/>
    <s v="Check out our latest story on instagram!"/>
    <x v="101"/>
    <x v="116"/>
    <x v="107"/>
    <n v="4980"/>
    <n v="4185"/>
    <n v="185"/>
    <s v="#LiveForNow"/>
    <m/>
    <s v="#LiveForNow"/>
    <m/>
    <m/>
    <n v="0.32349397590361445"/>
  </r>
  <r>
    <s v="P122"/>
    <x v="2"/>
    <s v="2024-10-02"/>
    <x v="1"/>
    <s v="Check out our latest text on instagram!"/>
    <x v="116"/>
    <x v="117"/>
    <x v="25"/>
    <n v="54912"/>
    <n v="53916"/>
    <n v="264"/>
    <s v="#ThirstyForMore"/>
    <s v="FestiveRadiance"/>
    <s v="#ThirstyForMore"/>
    <m/>
    <m/>
    <n v="8.0565268065268064E-2"/>
  </r>
  <r>
    <s v="P123"/>
    <x v="2"/>
    <s v="2024-06-14"/>
    <x v="2"/>
    <s v="Check out our latest story on instagram!"/>
    <x v="117"/>
    <x v="118"/>
    <x v="108"/>
    <n v="21815"/>
    <n v="21481"/>
    <n v="157"/>
    <s v="#ThirstyForMore"/>
    <s v="SummerSplash"/>
    <s v="#ThirstyForMore"/>
    <m/>
    <m/>
    <n v="0.23616777446710979"/>
  </r>
  <r>
    <s v="P124"/>
    <x v="1"/>
    <s v="2025-04-06"/>
    <x v="3"/>
    <s v="Check out our latest carousel on youtube!"/>
    <x v="118"/>
    <x v="119"/>
    <x v="109"/>
    <n v="5152"/>
    <n v="4706"/>
    <n v="19"/>
    <s v="#ThirstyForMore"/>
    <s v="SummerSplash"/>
    <s v="#ThirstyForMore"/>
    <m/>
    <m/>
    <n v="0.33618012422360249"/>
  </r>
  <r>
    <s v="P125"/>
    <x v="0"/>
    <s v="2024-09-08"/>
    <x v="3"/>
    <s v="Check out our latest carousel on twitter!"/>
    <x v="119"/>
    <x v="120"/>
    <x v="110"/>
    <n v="34299"/>
    <n v="34088"/>
    <n v="233"/>
    <s v="#PepsiCoRefresh"/>
    <s v="DailyWellness"/>
    <s v="#PepsiCoRefresh"/>
    <m/>
    <m/>
    <n v="0.14265722032712325"/>
  </r>
  <r>
    <s v="P126"/>
    <x v="2"/>
    <s v="2025-03-28"/>
    <x v="3"/>
    <s v="Check out our latest carousel on instagram!"/>
    <x v="120"/>
    <x v="121"/>
    <x v="111"/>
    <n v="45738"/>
    <n v="45183"/>
    <n v="142"/>
    <s v="#LiveForNow"/>
    <m/>
    <s v="#LiveForNow"/>
    <m/>
    <m/>
    <n v="9.9829463465827106E-2"/>
  </r>
  <r>
    <s v="P127"/>
    <x v="3"/>
    <s v="2025-01-27"/>
    <x v="0"/>
    <s v="Check out our latest reel on facebook!"/>
    <x v="15"/>
    <x v="122"/>
    <x v="112"/>
    <n v="65588"/>
    <n v="65049"/>
    <n v="158"/>
    <s v="#LiveForNow"/>
    <s v="NewYearRefresh"/>
    <s v="#LiveForNow"/>
    <m/>
    <m/>
    <n v="6.9311459413307311E-2"/>
  </r>
  <r>
    <s v="P129"/>
    <x v="0"/>
    <s v="2024-07-21"/>
    <x v="1"/>
    <s v="Check out our latest text on twitter!"/>
    <x v="121"/>
    <x v="123"/>
    <x v="113"/>
    <n v="17176"/>
    <n v="16483"/>
    <n v="170"/>
    <s v="#PepsiCoRefresh"/>
    <m/>
    <s v="#PepsiCoRefresh"/>
    <m/>
    <m/>
    <n v="0.17291569632044715"/>
  </r>
  <r>
    <s v="P130"/>
    <x v="1"/>
    <s v="2024-09-29"/>
    <x v="0"/>
    <s v="Check out our latest reel on youtube!"/>
    <x v="122"/>
    <x v="124"/>
    <x v="102"/>
    <n v="38168"/>
    <n v="37571"/>
    <n v="22"/>
    <s v="#ThirstyForMore"/>
    <s v="DailyWellness"/>
    <s v="#ThirstyForMore"/>
    <m/>
    <m/>
    <n v="8.9577656675749323E-2"/>
  </r>
  <r>
    <s v="P131"/>
    <x v="2"/>
    <s v="2024-10-21"/>
    <x v="0"/>
    <s v="Check out our latest reel on instagram!"/>
    <x v="123"/>
    <x v="41"/>
    <x v="114"/>
    <n v="43560"/>
    <n v="43225"/>
    <n v="57"/>
    <s v="#LiveForNow"/>
    <s v="NewYearRefresh"/>
    <s v="#LiveForNow"/>
    <m/>
    <m/>
    <n v="0.13106060606060607"/>
  </r>
  <r>
    <s v="P132"/>
    <x v="2"/>
    <s v="2025-03-04"/>
    <x v="2"/>
    <s v="Check out our latest story on instagram!"/>
    <x v="124"/>
    <x v="125"/>
    <x v="80"/>
    <n v="21417"/>
    <n v="20967"/>
    <n v="186"/>
    <s v="#LiveForNow"/>
    <s v="FestiveRadiance"/>
    <s v="#LiveForNow"/>
    <m/>
    <m/>
    <n v="0.13493953401503478"/>
  </r>
  <r>
    <s v="P133"/>
    <x v="3"/>
    <s v="2025-02-06"/>
    <x v="4"/>
    <s v="Check out our latest image on facebook!"/>
    <x v="125"/>
    <x v="126"/>
    <x v="115"/>
    <n v="37296"/>
    <n v="36467"/>
    <n v="25"/>
    <s v="#PepsiCoRefresh"/>
    <s v="DailyWellness"/>
    <s v="#PepsiCoRefresh"/>
    <m/>
    <m/>
    <n v="7.172350922350923E-2"/>
  </r>
  <r>
    <s v="P134"/>
    <x v="0"/>
    <s v="2025-04-24"/>
    <x v="0"/>
    <s v="Check out our latest reel on twitter!"/>
    <x v="126"/>
    <x v="127"/>
    <x v="86"/>
    <n v="55965"/>
    <n v="55436"/>
    <n v="103"/>
    <s v="#PepsiCoRefresh"/>
    <s v="SummerSplash"/>
    <s v="#PepsiCoRefresh"/>
    <m/>
    <m/>
    <n v="7.1133744304476013E-2"/>
  </r>
  <r>
    <s v="P135"/>
    <x v="3"/>
    <s v="2024-11-28"/>
    <x v="1"/>
    <s v="Check out our latest text on facebook!"/>
    <x v="127"/>
    <x v="128"/>
    <x v="116"/>
    <n v="75834"/>
    <n v="75437"/>
    <n v="272"/>
    <s v="#LiveForNow"/>
    <s v="DailyWellness"/>
    <s v="#LiveForNow"/>
    <m/>
    <m/>
    <n v="6.461481657304112E-2"/>
  </r>
  <r>
    <s v="P136"/>
    <x v="2"/>
    <s v="2024-07-11"/>
    <x v="1"/>
    <s v="Check out our latest text on instagram!"/>
    <x v="128"/>
    <x v="129"/>
    <x v="85"/>
    <n v="21938"/>
    <n v="21337"/>
    <n v="130"/>
    <s v="#ThirstyForMore"/>
    <s v="DailyWellness"/>
    <s v="#ThirstyForMore"/>
    <m/>
    <m/>
    <n v="0.20357370772176134"/>
  </r>
  <r>
    <s v="P137"/>
    <x v="3"/>
    <s v="2024-07-31"/>
    <x v="5"/>
    <s v="Check out our latest video on facebook!"/>
    <x v="129"/>
    <x v="130"/>
    <x v="26"/>
    <n v="15040"/>
    <n v="14639"/>
    <n v="277"/>
    <s v="#LiveForNow"/>
    <m/>
    <s v="#LiveForNow"/>
    <m/>
    <m/>
    <n v="0.20871010638297871"/>
  </r>
  <r>
    <s v="P138"/>
    <x v="0"/>
    <s v="2025-03-29"/>
    <x v="4"/>
    <s v="Check out our latest image on twitter!"/>
    <x v="130"/>
    <x v="21"/>
    <x v="117"/>
    <n v="4575"/>
    <n v="3704"/>
    <n v="234"/>
    <s v="#LiveForNow"/>
    <s v="NewYearRefresh"/>
    <s v="#LiveForNow"/>
    <m/>
    <m/>
    <n v="0.16065573770491803"/>
  </r>
  <r>
    <s v="P139"/>
    <x v="1"/>
    <s v="2024-10-29"/>
    <x v="1"/>
    <s v="Check out our latest text on youtube!"/>
    <x v="131"/>
    <x v="131"/>
    <x v="118"/>
    <n v="32952"/>
    <n v="32147"/>
    <n v="147"/>
    <s v="#ThirstyForMore"/>
    <s v="SummerSplash"/>
    <s v="#ThirstyForMore"/>
    <m/>
    <m/>
    <n v="9.422796795338674E-2"/>
  </r>
  <r>
    <s v="P140"/>
    <x v="3"/>
    <s v="2024-07-15"/>
    <x v="4"/>
    <s v="Check out our latest image on facebook!"/>
    <x v="132"/>
    <x v="132"/>
    <x v="119"/>
    <n v="18328"/>
    <n v="18101"/>
    <n v="10"/>
    <s v="#ThirstyForMore,#SmoothLikeNitroPepsi"/>
    <s v="FestiveRadiance"/>
    <s v="#ThirstyForMore"/>
    <s v="#SmoothLikeNitroPepsi"/>
    <m/>
    <n v="0.15571802706241816"/>
  </r>
  <r>
    <s v="P141"/>
    <x v="0"/>
    <s v="2024-08-31"/>
    <x v="4"/>
    <s v="Check out our latest image on twitter!"/>
    <x v="133"/>
    <x v="133"/>
    <x v="56"/>
    <n v="19020"/>
    <n v="18559"/>
    <n v="240"/>
    <s v="#LiveForNow"/>
    <m/>
    <s v="#LiveForNow"/>
    <m/>
    <m/>
    <n v="0.2316508937960042"/>
  </r>
  <r>
    <s v="P142"/>
    <x v="1"/>
    <s v="2025-03-25"/>
    <x v="2"/>
    <s v="Check out our latest story on youtube!"/>
    <x v="134"/>
    <x v="134"/>
    <x v="120"/>
    <n v="39330"/>
    <n v="38627"/>
    <n v="114"/>
    <s v="#LiveForNow"/>
    <s v="DailyWellness"/>
    <s v="#LiveForNow"/>
    <m/>
    <m/>
    <n v="6.9438087973557078E-2"/>
  </r>
  <r>
    <s v="P143"/>
    <x v="1"/>
    <s v="2024-10-02"/>
    <x v="3"/>
    <s v="Check out our latest carousel on youtube!"/>
    <x v="135"/>
    <x v="135"/>
    <x v="121"/>
    <n v="1040"/>
    <n v="349"/>
    <n v="117"/>
    <s v="#PepsiCoRefresh"/>
    <s v="NewYearRefresh"/>
    <s v="#PepsiCoRefresh"/>
    <m/>
    <m/>
    <n v="0.50192307692307692"/>
  </r>
  <r>
    <s v="P144"/>
    <x v="1"/>
    <s v="2024-10-28"/>
    <x v="2"/>
    <s v="Check out our latest story on youtube!"/>
    <x v="136"/>
    <x v="136"/>
    <x v="122"/>
    <n v="93651"/>
    <n v="92810"/>
    <n v="66"/>
    <s v="#ThirstyForMore"/>
    <s v="DailyWellness"/>
    <s v="#ThirstyForMore"/>
    <m/>
    <m/>
    <n v="6.5455787978772245E-2"/>
  </r>
  <r>
    <s v="P145"/>
    <x v="2"/>
    <s v="2024-08-12"/>
    <x v="3"/>
    <s v="Check out our latest carousel on instagram!"/>
    <x v="137"/>
    <x v="137"/>
    <x v="123"/>
    <n v="37560"/>
    <n v="36874"/>
    <n v="142"/>
    <s v="#PepsiCoRefresh"/>
    <s v="DailyWellness"/>
    <s v="#PepsiCoRefresh"/>
    <m/>
    <m/>
    <n v="5.6416400425985093E-2"/>
  </r>
  <r>
    <s v="P146"/>
    <x v="1"/>
    <s v="2024-06-05"/>
    <x v="0"/>
    <s v="Check out our latest reel on youtube!"/>
    <x v="138"/>
    <x v="68"/>
    <x v="124"/>
    <n v="18390"/>
    <n v="17875"/>
    <n v="200"/>
    <s v="#ThirstyForMore,#AnytimeIsPepsiTime"/>
    <m/>
    <s v="#ThirstyForMore"/>
    <s v="#AnytimeIsPepsiTime"/>
    <m/>
    <n v="0.21636759108210984"/>
  </r>
  <r>
    <s v="P147"/>
    <x v="2"/>
    <s v="2024-10-21"/>
    <x v="0"/>
    <s v="Check out our latest reel on instagram!"/>
    <x v="139"/>
    <x v="138"/>
    <x v="125"/>
    <n v="26048"/>
    <n v="25529"/>
    <n v="143"/>
    <s v="#PepsiCoRefresh"/>
    <s v="FestiveRadiance"/>
    <s v="#PepsiCoRefresh"/>
    <m/>
    <m/>
    <n v="0.15283323095823095"/>
  </r>
  <r>
    <s v="P148"/>
    <x v="2"/>
    <s v="2025-04-15"/>
    <x v="5"/>
    <s v="Check out our latest video on instagram!"/>
    <x v="140"/>
    <x v="139"/>
    <x v="41"/>
    <n v="24798"/>
    <n v="24620"/>
    <n v="176"/>
    <s v="#ThirstyForMore"/>
    <s v="DailyWellness"/>
    <s v="#ThirstyForMore"/>
    <m/>
    <m/>
    <n v="0.19864505202032423"/>
  </r>
  <r>
    <s v="P149"/>
    <x v="0"/>
    <s v="2024-06-16"/>
    <x v="5"/>
    <s v="Check out our latest video on twitter!"/>
    <x v="141"/>
    <x v="140"/>
    <x v="123"/>
    <n v="34040"/>
    <n v="33174"/>
    <n v="76"/>
    <s v="#ThirstyForMore"/>
    <s v="SummerSplash"/>
    <s v="#ThirstyForMore"/>
    <m/>
    <m/>
    <n v="7.7291421856639245E-2"/>
  </r>
  <r>
    <s v="P150"/>
    <x v="1"/>
    <s v="2024-08-22"/>
    <x v="3"/>
    <s v="Check out our latest carousel on youtube!"/>
    <x v="142"/>
    <x v="141"/>
    <x v="17"/>
    <n v="85900"/>
    <n v="85788"/>
    <n v="290"/>
    <s v="#PepsiCoRefresh"/>
    <s v="DailyWellness"/>
    <s v="#PepsiCoRefresh"/>
    <m/>
    <m/>
    <n v="6.3713620488940623E-2"/>
  </r>
  <r>
    <s v="P151"/>
    <x v="2"/>
    <s v="2024-07-26"/>
    <x v="4"/>
    <s v="Check out our latest image on instagram!"/>
    <x v="143"/>
    <x v="142"/>
    <x v="126"/>
    <n v="35590"/>
    <n v="35105"/>
    <n v="122"/>
    <s v="#ThirstyForMore"/>
    <s v="SummerSplash"/>
    <s v="#ThirstyForMore"/>
    <m/>
    <m/>
    <n v="0.10977802753582468"/>
  </r>
  <r>
    <s v="P152"/>
    <x v="3"/>
    <s v="2025-04-22"/>
    <x v="4"/>
    <s v="Check out our latest image on facebook!"/>
    <x v="144"/>
    <x v="143"/>
    <x v="127"/>
    <n v="28824"/>
    <n v="28370"/>
    <n v="47"/>
    <s v="#ThirstyForMore"/>
    <s v="DailyWellness"/>
    <s v="#ThirstyForMore"/>
    <m/>
    <m/>
    <n v="0.19511518179295032"/>
  </r>
  <r>
    <s v="P153"/>
    <x v="0"/>
    <s v="2025-01-01"/>
    <x v="5"/>
    <s v="Check out our latest video on twitter!"/>
    <x v="145"/>
    <x v="144"/>
    <x v="128"/>
    <n v="6786"/>
    <n v="6221"/>
    <n v="212"/>
    <s v="#PepsiCoRefresh"/>
    <s v="NewYearRefresh"/>
    <s v="#PepsiCoRefresh"/>
    <m/>
    <m/>
    <n v="0.17801355732390214"/>
  </r>
  <r>
    <s v="P154"/>
    <x v="2"/>
    <s v="2024-10-09"/>
    <x v="3"/>
    <s v="Check out our latest carousel on instagram!"/>
    <x v="146"/>
    <x v="145"/>
    <x v="129"/>
    <n v="6895"/>
    <n v="6757"/>
    <n v="64"/>
    <s v="#LiveForNow"/>
    <s v="DailyWellness"/>
    <s v="#LiveForNow"/>
    <m/>
    <m/>
    <n v="0.31965192168237855"/>
  </r>
  <r>
    <s v="P155"/>
    <x v="1"/>
    <s v="2024-12-21"/>
    <x v="4"/>
    <s v="Check out our latest image on youtube!"/>
    <x v="147"/>
    <x v="146"/>
    <x v="130"/>
    <n v="22830"/>
    <n v="22617"/>
    <n v="143"/>
    <s v="#LiveForNow"/>
    <s v="FestiveRadiance"/>
    <s v="#LiveForNow"/>
    <m/>
    <m/>
    <n v="0.11489268506351293"/>
  </r>
  <r>
    <s v="P156"/>
    <x v="3"/>
    <s v="2024-10-22"/>
    <x v="3"/>
    <s v="Check out our latest carousel on facebook!"/>
    <x v="148"/>
    <x v="147"/>
    <x v="97"/>
    <n v="43576"/>
    <n v="43338"/>
    <n v="240"/>
    <s v="#LiveForNow"/>
    <s v="FestiveRadiance"/>
    <s v="#LiveForNow"/>
    <m/>
    <m/>
    <n v="0.1095786671562328"/>
  </r>
  <r>
    <s v="P157"/>
    <x v="1"/>
    <s v="2024-07-23"/>
    <x v="2"/>
    <s v="Check out our latest story on youtube!"/>
    <x v="149"/>
    <x v="148"/>
    <x v="131"/>
    <n v="47750"/>
    <n v="47544"/>
    <n v="187"/>
    <s v="#LiveForNow"/>
    <s v="FestiveRadiance"/>
    <s v="#LiveForNow"/>
    <m/>
    <m/>
    <n v="0.10793717277486911"/>
  </r>
  <r>
    <s v="P158"/>
    <x v="2"/>
    <s v="2024-08-11"/>
    <x v="2"/>
    <s v="Check out our latest story on instagram!"/>
    <x v="150"/>
    <x v="149"/>
    <x v="132"/>
    <n v="22906"/>
    <n v="21925"/>
    <n v="25"/>
    <s v="#PepsiCoRefresh"/>
    <s v="SummerSplash"/>
    <s v="#PepsiCoRefresh"/>
    <m/>
    <m/>
    <n v="0.11307081114118571"/>
  </r>
  <r>
    <s v="P159"/>
    <x v="3"/>
    <s v="2024-11-25"/>
    <x v="2"/>
    <s v="Check out our latest story on facebook!"/>
    <x v="151"/>
    <x v="150"/>
    <x v="101"/>
    <n v="12720"/>
    <n v="12085"/>
    <n v="17"/>
    <s v="#LiveForNow"/>
    <s v="FestiveRadiance"/>
    <s v="#LiveForNow"/>
    <m/>
    <m/>
    <n v="0.21745283018867925"/>
  </r>
  <r>
    <s v="P160"/>
    <x v="0"/>
    <s v="2024-08-24"/>
    <x v="5"/>
    <s v="Check out our latest video on twitter!"/>
    <x v="152"/>
    <x v="151"/>
    <x v="133"/>
    <n v="19476"/>
    <n v="18654"/>
    <n v="20"/>
    <s v="#PepsiCoRefresh"/>
    <m/>
    <s v="#PepsiCoRefresh"/>
    <m/>
    <m/>
    <n v="9.1137810638734856E-2"/>
  </r>
  <r>
    <s v="P161"/>
    <x v="0"/>
    <s v="2025-02-19"/>
    <x v="1"/>
    <s v="Check out our latest text on twitter!"/>
    <x v="153"/>
    <x v="152"/>
    <x v="134"/>
    <n v="51381"/>
    <n v="50565"/>
    <n v="245"/>
    <s v="#PepsiCoRefresh"/>
    <s v="DailyWellness"/>
    <s v="#PepsiCoRefresh"/>
    <m/>
    <m/>
    <n v="0.11508145034156594"/>
  </r>
  <r>
    <s v="P162"/>
    <x v="3"/>
    <s v="2025-04-01"/>
    <x v="2"/>
    <s v="Check out our latest story on facebook!"/>
    <x v="154"/>
    <x v="153"/>
    <x v="135"/>
    <n v="48020"/>
    <n v="47305"/>
    <n v="120"/>
    <s v="#LiveForNow"/>
    <m/>
    <s v="#LiveForNow"/>
    <m/>
    <m/>
    <n v="8.6630570595585168E-2"/>
  </r>
  <r>
    <s v="P163"/>
    <x v="2"/>
    <s v="2025-04-08"/>
    <x v="4"/>
    <s v="Check out our latest image on instagram!"/>
    <x v="155"/>
    <x v="154"/>
    <x v="136"/>
    <n v="22505"/>
    <n v="21836"/>
    <n v="132"/>
    <s v="#PepsiCoRefresh"/>
    <s v="FestiveRadiance"/>
    <s v="#PepsiCoRefresh"/>
    <m/>
    <m/>
    <n v="0.23101532992668297"/>
  </r>
  <r>
    <s v="P164"/>
    <x v="1"/>
    <s v="2025-02-27"/>
    <x v="1"/>
    <s v="Check out our latest text on youtube!"/>
    <x v="156"/>
    <x v="155"/>
    <x v="137"/>
    <n v="39472"/>
    <n v="39025"/>
    <n v="169"/>
    <s v="#PepsiCoRefresh,#AnytimeIsPepsiTime"/>
    <s v="DailyWellness"/>
    <s v="#PepsiCoRefresh"/>
    <s v="#AnytimeIsPepsiTime"/>
    <m/>
    <n v="0.15355188488042157"/>
  </r>
  <r>
    <s v="P165"/>
    <x v="0"/>
    <s v="2024-12-11"/>
    <x v="1"/>
    <s v="Check out our latest text on twitter!"/>
    <x v="157"/>
    <x v="156"/>
    <x v="114"/>
    <n v="22673"/>
    <n v="22171"/>
    <n v="230"/>
    <s v="#PepsiCoRefresh"/>
    <s v="FestiveRadiance"/>
    <s v="#PepsiCoRefresh"/>
    <m/>
    <m/>
    <n v="0.15405989502933004"/>
  </r>
  <r>
    <s v="P166"/>
    <x v="0"/>
    <s v="2025-02-16"/>
    <x v="0"/>
    <s v="Check out our latest reel on twitter!"/>
    <x v="158"/>
    <x v="157"/>
    <x v="90"/>
    <n v="11836"/>
    <n v="11596"/>
    <n v="104"/>
    <s v="#LiveForNow"/>
    <s v="SummerSplash"/>
    <s v="#LiveForNow"/>
    <m/>
    <m/>
    <n v="0.14320716458262928"/>
  </r>
  <r>
    <s v="P167"/>
    <x v="2"/>
    <s v="2024-11-28"/>
    <x v="1"/>
    <s v="Check out our latest text on instagram!"/>
    <x v="159"/>
    <x v="158"/>
    <x v="138"/>
    <n v="57252"/>
    <n v="56378"/>
    <n v="150"/>
    <s v="#LiveForNow"/>
    <m/>
    <s v="#LiveForNow"/>
    <m/>
    <m/>
    <n v="9.859917557465242E-2"/>
  </r>
  <r>
    <s v="P168"/>
    <x v="3"/>
    <s v="2024-11-12"/>
    <x v="1"/>
    <s v="Check out our latest text on facebook!"/>
    <x v="160"/>
    <x v="159"/>
    <x v="139"/>
    <n v="43524"/>
    <n v="42743"/>
    <n v="182"/>
    <s v="#ThirstyForMore"/>
    <s v="SummerSplash"/>
    <s v="#ThirstyForMore"/>
    <m/>
    <m/>
    <n v="7.412002573292896E-2"/>
  </r>
  <r>
    <s v="P169"/>
    <x v="1"/>
    <s v="2024-12-03"/>
    <x v="5"/>
    <s v="Check out our latest video on youtube!"/>
    <x v="161"/>
    <x v="160"/>
    <x v="140"/>
    <n v="34281"/>
    <n v="33534"/>
    <n v="83"/>
    <s v="#ThirstyForMore"/>
    <s v="SummerSplash"/>
    <s v="#ThirstyForMore"/>
    <m/>
    <m/>
    <n v="0.12490884163239112"/>
  </r>
  <r>
    <s v="P170"/>
    <x v="0"/>
    <s v="2025-04-28"/>
    <x v="1"/>
    <s v="Check out our latest text on twitter!"/>
    <x v="162"/>
    <x v="161"/>
    <x v="1"/>
    <n v="67963"/>
    <n v="67839"/>
    <n v="53"/>
    <s v="#PepsiCoRefresh"/>
    <s v="NewYearRefresh"/>
    <s v="#PepsiCoRefresh"/>
    <m/>
    <m/>
    <n v="6.8655003457763777E-2"/>
  </r>
  <r>
    <s v="P171"/>
    <x v="1"/>
    <s v="2024-12-31"/>
    <x v="5"/>
    <s v="Check out our latest video on youtube!"/>
    <x v="163"/>
    <x v="162"/>
    <x v="141"/>
    <n v="18324"/>
    <n v="18164"/>
    <n v="38"/>
    <s v="#LiveForNow"/>
    <s v="FestiveRadiance"/>
    <s v="#LiveForNow"/>
    <m/>
    <m/>
    <n v="9.8068107400130972E-2"/>
  </r>
  <r>
    <s v="P172"/>
    <x v="3"/>
    <s v="2024-08-14"/>
    <x v="3"/>
    <s v="Check out our latest carousel on facebook!"/>
    <x v="164"/>
    <x v="163"/>
    <x v="68"/>
    <n v="52241"/>
    <n v="51605"/>
    <n v="246"/>
    <s v="#ThirstyForMore"/>
    <s v="NewYearRefresh"/>
    <s v="#ThirstyForMore"/>
    <m/>
    <m/>
    <n v="7.2739802071170159E-2"/>
  </r>
  <r>
    <s v="P173"/>
    <x v="0"/>
    <s v="2024-12-05"/>
    <x v="5"/>
    <s v="Check out our latest video on twitter!"/>
    <x v="165"/>
    <x v="36"/>
    <x v="142"/>
    <n v="15960"/>
    <n v="15379"/>
    <n v="229"/>
    <s v="#LiveForNow"/>
    <s v="NewYearRefresh"/>
    <s v="#LiveForNow"/>
    <m/>
    <m/>
    <n v="0.14348370927318296"/>
  </r>
  <r>
    <s v="P174"/>
    <x v="3"/>
    <s v="2024-06-22"/>
    <x v="1"/>
    <s v="Check out our latest text on facebook!"/>
    <x v="166"/>
    <x v="164"/>
    <x v="143"/>
    <n v="30624"/>
    <n v="30229"/>
    <n v="235"/>
    <s v="#ThirstyForMore"/>
    <m/>
    <s v="#ThirstyForMore"/>
    <m/>
    <m/>
    <n v="0.13809430512016718"/>
  </r>
  <r>
    <s v="P175"/>
    <x v="2"/>
    <s v="2025-01-17"/>
    <x v="0"/>
    <s v="Check out our latest reel on instagram!"/>
    <x v="167"/>
    <x v="42"/>
    <x v="144"/>
    <n v="1704"/>
    <n v="995"/>
    <n v="154"/>
    <s v="#LiveForNow"/>
    <s v="DailyWellness"/>
    <s v="#LiveForNow"/>
    <m/>
    <m/>
    <n v="0.6508215962441315"/>
  </r>
  <r>
    <s v="P176"/>
    <x v="3"/>
    <s v="2024-06-20"/>
    <x v="5"/>
    <s v="Check out our latest video on facebook!"/>
    <x v="168"/>
    <x v="165"/>
    <x v="6"/>
    <n v="75960"/>
    <n v="75813"/>
    <n v="266"/>
    <s v="#PepsiCoRefresh"/>
    <s v="SummerSplash"/>
    <s v="#PepsiCoRefresh"/>
    <m/>
    <m/>
    <n v="5.4081095313322801E-2"/>
  </r>
  <r>
    <s v="P177"/>
    <x v="2"/>
    <s v="2024-07-10"/>
    <x v="3"/>
    <s v="Check out our latest carousel on instagram!"/>
    <x v="169"/>
    <x v="166"/>
    <x v="145"/>
    <n v="43386"/>
    <n v="42921"/>
    <n v="52"/>
    <s v="#PepsiCoRefresh"/>
    <s v="NewYearRefresh"/>
    <s v="#PepsiCoRefresh"/>
    <m/>
    <m/>
    <n v="9.1365878393951966E-2"/>
  </r>
  <r>
    <s v="P178"/>
    <x v="2"/>
    <s v="2024-11-07"/>
    <x v="5"/>
    <s v="Check out our latest video on instagram!"/>
    <x v="170"/>
    <x v="167"/>
    <x v="146"/>
    <n v="1290"/>
    <n v="839"/>
    <n v="238"/>
    <s v="#PepsiCoRefresh"/>
    <s v="DailyWellness"/>
    <s v="#PepsiCoRefresh"/>
    <m/>
    <m/>
    <n v="0.70387596899224802"/>
  </r>
  <r>
    <s v="P179"/>
    <x v="3"/>
    <s v="2024-07-15"/>
    <x v="3"/>
    <s v="Check out our latest carousel on facebook!"/>
    <x v="171"/>
    <x v="168"/>
    <x v="147"/>
    <n v="64532"/>
    <n v="63550"/>
    <n v="292"/>
    <s v="#PepsiCoRefresh"/>
    <m/>
    <s v="#PepsiCoRefresh"/>
    <m/>
    <m/>
    <n v="7.5280481001673588E-2"/>
  </r>
  <r>
    <s v="P180"/>
    <x v="1"/>
    <s v="2024-12-03"/>
    <x v="1"/>
    <s v="Check out our latest text on youtube!"/>
    <x v="172"/>
    <x v="169"/>
    <x v="148"/>
    <n v="48243"/>
    <n v="47579"/>
    <n v="11"/>
    <s v="#PepsiCoRefresh"/>
    <s v="SummerSplash"/>
    <s v="#PepsiCoRefresh"/>
    <m/>
    <m/>
    <n v="9.023070704558174E-2"/>
  </r>
  <r>
    <s v="P181"/>
    <x v="1"/>
    <s v="2025-03-21"/>
    <x v="4"/>
    <s v="Check out our latest image on youtube!"/>
    <x v="173"/>
    <x v="170"/>
    <x v="149"/>
    <n v="7878"/>
    <n v="7389"/>
    <n v="239"/>
    <s v="#ThirstyForMore"/>
    <s v="NewYearRefresh"/>
    <s v="#ThirstyForMore"/>
    <m/>
    <m/>
    <n v="0.23673521198273673"/>
  </r>
  <r>
    <s v="P182"/>
    <x v="3"/>
    <s v="2024-07-31"/>
    <x v="4"/>
    <s v="Check out our latest image on facebook!"/>
    <x v="174"/>
    <x v="171"/>
    <x v="150"/>
    <n v="51579"/>
    <n v="50924"/>
    <n v="173"/>
    <s v="#PepsiCoRefresh"/>
    <s v="DailyWellness"/>
    <s v="#PepsiCoRefresh"/>
    <m/>
    <m/>
    <n v="0.10132030477519921"/>
  </r>
  <r>
    <s v="P183"/>
    <x v="2"/>
    <s v="2024-12-17"/>
    <x v="2"/>
    <s v="Check out our latest story on instagram!"/>
    <x v="175"/>
    <x v="172"/>
    <x v="113"/>
    <n v="4680"/>
    <n v="4322"/>
    <n v="208"/>
    <s v="#LiveForNow"/>
    <s v="FestiveRadiance"/>
    <s v="#LiveForNow"/>
    <m/>
    <m/>
    <n v="0.28696581196581195"/>
  </r>
  <r>
    <s v="P184"/>
    <x v="0"/>
    <s v="2024-07-28"/>
    <x v="4"/>
    <s v="Check out our latest image on twitter!"/>
    <x v="176"/>
    <x v="88"/>
    <x v="151"/>
    <n v="32150"/>
    <n v="31404"/>
    <n v="251"/>
    <s v="#ThirstyForMore"/>
    <s v="SummerSplash"/>
    <s v="#ThirstyForMore"/>
    <m/>
    <m/>
    <n v="0.13614307931570763"/>
  </r>
  <r>
    <s v="P185"/>
    <x v="2"/>
    <s v="2025-01-11"/>
    <x v="3"/>
    <s v="Check out our latest carousel on instagram!"/>
    <x v="177"/>
    <x v="173"/>
    <x v="152"/>
    <n v="49753"/>
    <n v="49329"/>
    <n v="71"/>
    <s v="#ThirstyForMore"/>
    <m/>
    <s v="#ThirstyForMore"/>
    <m/>
    <m/>
    <n v="9.5290736237010829E-2"/>
  </r>
  <r>
    <s v="P186"/>
    <x v="3"/>
    <s v="2024-08-24"/>
    <x v="3"/>
    <s v="Check out our latest carousel on facebook!"/>
    <x v="178"/>
    <x v="174"/>
    <x v="153"/>
    <n v="55796"/>
    <n v="54826"/>
    <n v="264"/>
    <s v="#ThirstyForMore"/>
    <s v="NewYearRefresh"/>
    <s v="#ThirstyForMore"/>
    <m/>
    <m/>
    <n v="8.4862714173059003E-2"/>
  </r>
  <r>
    <s v="P187"/>
    <x v="0"/>
    <s v="2024-12-22"/>
    <x v="0"/>
    <s v="Check out our latest reel on twitter!"/>
    <x v="179"/>
    <x v="175"/>
    <x v="154"/>
    <n v="27948"/>
    <n v="27184"/>
    <n v="300"/>
    <s v="#ThirstyForMore"/>
    <s v="NewYearRefresh"/>
    <s v="#ThirstyForMore"/>
    <m/>
    <m/>
    <n v="8.3726921425504502E-2"/>
  </r>
  <r>
    <s v="P188"/>
    <x v="1"/>
    <s v="2024-06-06"/>
    <x v="0"/>
    <s v="Check out our latest reel on youtube!"/>
    <x v="180"/>
    <x v="176"/>
    <x v="155"/>
    <n v="40920"/>
    <n v="40816"/>
    <n v="137"/>
    <s v="#LiveForNow"/>
    <s v="FestiveRadiance"/>
    <s v="#LiveForNow"/>
    <m/>
    <m/>
    <n v="8.4946236559139784E-2"/>
  </r>
  <r>
    <s v="P189"/>
    <x v="3"/>
    <s v="2025-03-24"/>
    <x v="0"/>
    <s v="Check out our latest reel on facebook!"/>
    <x v="181"/>
    <x v="177"/>
    <x v="156"/>
    <n v="60480"/>
    <n v="59610"/>
    <n v="192"/>
    <s v="#PepsiCoRefresh"/>
    <s v="SummerSplash"/>
    <s v="#PepsiCoRefresh"/>
    <m/>
    <m/>
    <n v="7.2503306878306875E-2"/>
  </r>
  <r>
    <s v="P190"/>
    <x v="1"/>
    <s v="2024-10-04"/>
    <x v="1"/>
    <s v="Check out our latest text on youtube!"/>
    <x v="182"/>
    <x v="178"/>
    <x v="52"/>
    <n v="39260"/>
    <n v="38771"/>
    <n v="145"/>
    <s v="#LiveForNow"/>
    <m/>
    <s v="#LiveForNow"/>
    <m/>
    <m/>
    <n v="5.5909322465613857E-2"/>
  </r>
  <r>
    <s v="P191"/>
    <x v="1"/>
    <s v="2024-12-03"/>
    <x v="2"/>
    <s v="Check out our latest story on youtube!"/>
    <x v="183"/>
    <x v="179"/>
    <x v="157"/>
    <n v="55705"/>
    <n v="55556"/>
    <n v="51"/>
    <s v="#LiveForNow"/>
    <s v="NewYearRefresh"/>
    <s v="#LiveForNow"/>
    <m/>
    <m/>
    <n v="9.9578134817341346E-2"/>
  </r>
  <r>
    <s v="P192"/>
    <x v="2"/>
    <s v="2024-11-29"/>
    <x v="5"/>
    <s v="Check out our latest video on instagram!"/>
    <x v="184"/>
    <x v="180"/>
    <x v="158"/>
    <n v="14112"/>
    <n v="13588"/>
    <n v="272"/>
    <s v="#ThirstyForMore"/>
    <m/>
    <s v="#ThirstyForMore"/>
    <m/>
    <m/>
    <n v="0.1441326530612245"/>
  </r>
  <r>
    <s v="P193"/>
    <x v="0"/>
    <s v="2024-09-11"/>
    <x v="4"/>
    <s v="Check out our latest image on twitter!"/>
    <x v="185"/>
    <x v="181"/>
    <x v="159"/>
    <n v="53438"/>
    <n v="52687"/>
    <n v="223"/>
    <s v="#ThirstyForMore"/>
    <s v="NewYearRefresh"/>
    <s v="#ThirstyForMore"/>
    <m/>
    <m/>
    <n v="9.9255211647142488E-2"/>
  </r>
  <r>
    <s v="P194"/>
    <x v="1"/>
    <s v="2024-10-02"/>
    <x v="2"/>
    <s v="Check out our latest story on youtube!"/>
    <x v="186"/>
    <x v="119"/>
    <x v="49"/>
    <n v="60900"/>
    <n v="60592"/>
    <n v="195"/>
    <s v="#ThirstyForMore"/>
    <s v="SummerSplash"/>
    <s v="#ThirstyForMore"/>
    <m/>
    <m/>
    <n v="8.4203612479474554E-2"/>
  </r>
  <r>
    <s v="P195"/>
    <x v="2"/>
    <s v="2024-08-15"/>
    <x v="3"/>
    <s v="Check out our latest carousel on instagram!"/>
    <x v="187"/>
    <x v="180"/>
    <x v="160"/>
    <n v="11882"/>
    <n v="11500"/>
    <n v="282"/>
    <s v="#LiveForNow,#PepsiCoRefresh,#AnytimeIsPepsiTime"/>
    <s v="DailyWellness"/>
    <s v="#LiveForNow"/>
    <s v="#PepsiCoRefresh"/>
    <s v="#AnytimeIsPepsiTime"/>
    <n v="0.13667732704931829"/>
  </r>
  <r>
    <s v="P196"/>
    <x v="2"/>
    <s v="2024-12-19"/>
    <x v="1"/>
    <s v="Check out our latest text on instagram!"/>
    <x v="188"/>
    <x v="182"/>
    <x v="161"/>
    <n v="19943"/>
    <n v="18959"/>
    <n v="85"/>
    <s v="#ThirstyForMore"/>
    <s v="NewYearRefresh"/>
    <s v="#ThirstyForMore"/>
    <m/>
    <m/>
    <n v="0.12575841147269717"/>
  </r>
  <r>
    <s v="P197"/>
    <x v="0"/>
    <s v="2024-10-22"/>
    <x v="0"/>
    <s v="Check out our latest reel on twitter!"/>
    <x v="189"/>
    <x v="183"/>
    <x v="162"/>
    <n v="86076"/>
    <n v="85339"/>
    <n v="19"/>
    <s v="#ThirstyForMore"/>
    <s v="SummerSplash"/>
    <s v="#ThirstyForMore"/>
    <m/>
    <m/>
    <n v="6.4884520656164318E-2"/>
  </r>
  <r>
    <s v="P198"/>
    <x v="0"/>
    <s v="2024-09-14"/>
    <x v="4"/>
    <s v="Check out our latest image on twitter!"/>
    <x v="190"/>
    <x v="184"/>
    <x v="163"/>
    <n v="9432"/>
    <n v="8882"/>
    <n v="158"/>
    <s v="#PepsiCoRefresh"/>
    <s v="NewYearRefresh"/>
    <s v="#PepsiCoRefresh"/>
    <m/>
    <m/>
    <n v="0.19847328244274809"/>
  </r>
  <r>
    <s v="P199"/>
    <x v="1"/>
    <s v="2024-11-30"/>
    <x v="3"/>
    <s v="Check out our latest carousel on youtube!"/>
    <x v="191"/>
    <x v="76"/>
    <x v="145"/>
    <n v="35126"/>
    <n v="34685"/>
    <n v="277"/>
    <s v="#PepsiCoRefresh"/>
    <s v="FestiveRadiance"/>
    <s v="#PepsiCoRefresh"/>
    <m/>
    <m/>
    <n v="8.5520696919660646E-2"/>
  </r>
  <r>
    <s v="P200"/>
    <x v="3"/>
    <s v="2025-04-07"/>
    <x v="0"/>
    <s v="Check out our latest reel on facebook!"/>
    <x v="192"/>
    <x v="185"/>
    <x v="164"/>
    <n v="70642"/>
    <n v="69749"/>
    <n v="233"/>
    <s v="#PepsiCoRefresh"/>
    <s v="FestiveRadiance"/>
    <s v="#PepsiCoRefresh"/>
    <m/>
    <m/>
    <n v="6.246991874522239E-2"/>
  </r>
  <r>
    <s v="P201"/>
    <x v="0"/>
    <s v="2025-01-15"/>
    <x v="0"/>
    <s v="Check out our latest reel on twitter!"/>
    <x v="193"/>
    <x v="7"/>
    <x v="165"/>
    <n v="14436"/>
    <n v="14280"/>
    <n v="49"/>
    <s v="#ThirstyForMore"/>
    <s v="SummerSplash"/>
    <s v="#ThirstyForMore"/>
    <m/>
    <m/>
    <n v="9.0606816292601824E-2"/>
  </r>
  <r>
    <s v="P202"/>
    <x v="3"/>
    <s v="2024-06-02"/>
    <x v="4"/>
    <s v="Check out our latest image on facebook!"/>
    <x v="194"/>
    <x v="186"/>
    <x v="166"/>
    <n v="29936"/>
    <n v="29576"/>
    <n v="288"/>
    <s v="#ThirstyForMore"/>
    <s v="NewYearRefresh"/>
    <s v="#ThirstyForMore"/>
    <m/>
    <m/>
    <n v="8.2108498129342594E-2"/>
  </r>
  <r>
    <s v="P203"/>
    <x v="2"/>
    <s v="2024-11-21"/>
    <x v="3"/>
    <s v="Check out our latest carousel on instagram!"/>
    <x v="195"/>
    <x v="187"/>
    <x v="167"/>
    <n v="71687"/>
    <n v="71447"/>
    <n v="286"/>
    <s v="#LiveForNow"/>
    <s v="SummerSplash"/>
    <s v="#LiveForNow"/>
    <m/>
    <m/>
    <n v="5.7332570758993957E-2"/>
  </r>
  <r>
    <s v="P204"/>
    <x v="2"/>
    <s v="2025-01-01"/>
    <x v="3"/>
    <s v="Check out our latest carousel on instagram!"/>
    <x v="196"/>
    <x v="188"/>
    <x v="168"/>
    <n v="11170"/>
    <n v="10569"/>
    <n v="198"/>
    <s v="#LiveForNow"/>
    <s v="NewYearRefresh"/>
    <s v="#LiveForNow"/>
    <m/>
    <m/>
    <n v="0.29713518352730528"/>
  </r>
  <r>
    <s v="P205"/>
    <x v="0"/>
    <s v="2025-04-24"/>
    <x v="5"/>
    <s v="Check out our latest video on twitter!"/>
    <x v="197"/>
    <x v="189"/>
    <x v="169"/>
    <n v="45840"/>
    <n v="45631"/>
    <n v="171"/>
    <s v="#PepsiCoRefresh,#SmoothLikeNitroPepsi"/>
    <s v="DailyWellness"/>
    <s v="#PepsiCoRefresh"/>
    <s v="#SmoothLikeNitroPepsi"/>
    <m/>
    <n v="0.1043848167539267"/>
  </r>
  <r>
    <s v="P206"/>
    <x v="0"/>
    <s v="2024-06-24"/>
    <x v="1"/>
    <s v="Check out our latest text on twitter!"/>
    <x v="198"/>
    <x v="190"/>
    <x v="103"/>
    <n v="14115"/>
    <n v="13838"/>
    <n v="87"/>
    <s v="#ThirstyForMore"/>
    <s v="SummerSplash"/>
    <s v="#ThirstyForMore"/>
    <m/>
    <m/>
    <n v="0.10768685795253277"/>
  </r>
  <r>
    <s v="P207"/>
    <x v="0"/>
    <s v="2024-12-29"/>
    <x v="3"/>
    <s v="Check out our latest carousel on twitter!"/>
    <x v="199"/>
    <x v="191"/>
    <x v="170"/>
    <n v="34192"/>
    <n v="33446"/>
    <n v="129"/>
    <s v="#PepsiCoRefresh,#SmoothLikeNitroPepsi"/>
    <s v="NewYearRefresh"/>
    <s v="#PepsiCoRefresh"/>
    <s v="#SmoothLikeNitroPepsi"/>
    <m/>
    <n v="0.14316214319138981"/>
  </r>
  <r>
    <s v="P208"/>
    <x v="1"/>
    <s v="2024-06-24"/>
    <x v="5"/>
    <s v="Check out our latest video on youtube!"/>
    <x v="200"/>
    <x v="192"/>
    <x v="150"/>
    <n v="44235"/>
    <n v="43705"/>
    <n v="135"/>
    <s v="#PepsiCoRefresh"/>
    <s v="FestiveRadiance"/>
    <s v="#PepsiCoRefresh"/>
    <m/>
    <m/>
    <n v="8.6537809426924378E-2"/>
  </r>
  <r>
    <s v="P209"/>
    <x v="0"/>
    <s v="2025-03-19"/>
    <x v="5"/>
    <s v="Check out our latest video on twitter!"/>
    <x v="201"/>
    <x v="193"/>
    <x v="171"/>
    <n v="44240"/>
    <n v="43666"/>
    <n v="49"/>
    <s v="#LiveForNow,#AnytimeIsPepsiTime"/>
    <s v="DailyWellness"/>
    <s v="#LiveForNow"/>
    <s v="#AnytimeIsPepsiTime"/>
    <m/>
    <n v="8.2753164556962022E-2"/>
  </r>
  <r>
    <s v="P210"/>
    <x v="1"/>
    <s v="2025-02-19"/>
    <x v="4"/>
    <s v="Check out our latest image on youtube!"/>
    <x v="202"/>
    <x v="194"/>
    <x v="172"/>
    <n v="3341"/>
    <n v="2753"/>
    <n v="287"/>
    <s v="#LiveForNow"/>
    <s v="SummerSplash"/>
    <s v="#LiveForNow"/>
    <m/>
    <m/>
    <n v="0.48518407662376534"/>
  </r>
  <r>
    <s v="P211"/>
    <x v="0"/>
    <s v="2024-07-18"/>
    <x v="3"/>
    <s v="Check out our latest carousel on twitter!"/>
    <x v="151"/>
    <x v="100"/>
    <x v="42"/>
    <n v="12720"/>
    <n v="12564"/>
    <n v="21"/>
    <s v="#LiveForNow"/>
    <s v="DailyWellness"/>
    <s v="#LiveForNow"/>
    <m/>
    <m/>
    <n v="0.18632075471698112"/>
  </r>
  <r>
    <s v="P212"/>
    <x v="1"/>
    <s v="2025-03-03"/>
    <x v="5"/>
    <s v="Check out our latest video on youtube!"/>
    <x v="203"/>
    <x v="195"/>
    <x v="52"/>
    <n v="38740"/>
    <n v="38552"/>
    <n v="219"/>
    <s v="#PepsiCoRefresh"/>
    <s v="FestiveRadiance"/>
    <s v="#PepsiCoRefresh"/>
    <m/>
    <m/>
    <n v="0.123309241094476"/>
  </r>
  <r>
    <s v="P213"/>
    <x v="3"/>
    <s v="2025-05-01"/>
    <x v="3"/>
    <s v="Check out our latest carousel on facebook!"/>
    <x v="204"/>
    <x v="196"/>
    <x v="173"/>
    <n v="45832"/>
    <n v="45632"/>
    <n v="248"/>
    <s v="#ThirstyForMore"/>
    <s v="DailyWellness"/>
    <s v="#ThirstyForMore"/>
    <m/>
    <m/>
    <n v="8.21914819340199E-2"/>
  </r>
  <r>
    <s v="P214"/>
    <x v="2"/>
    <s v="2024-12-23"/>
    <x v="4"/>
    <s v="Check out our latest image on instagram!"/>
    <x v="205"/>
    <x v="197"/>
    <x v="174"/>
    <n v="4168"/>
    <n v="3399"/>
    <n v="282"/>
    <s v="#LiveForNow"/>
    <s v="FestiveRadiance"/>
    <s v="#LiveForNow"/>
    <m/>
    <m/>
    <n v="0.37955854126679461"/>
  </r>
  <r>
    <s v="P215"/>
    <x v="3"/>
    <s v="2025-05-06"/>
    <x v="4"/>
    <s v="Check out our latest image on facebook!"/>
    <x v="206"/>
    <x v="36"/>
    <x v="175"/>
    <n v="82824"/>
    <n v="82543"/>
    <n v="89"/>
    <s v="#ThirstyForMore"/>
    <s v="FestiveRadiance"/>
    <s v="#ThirstyForMore"/>
    <m/>
    <m/>
    <n v="7.2116777745580993E-2"/>
  </r>
  <r>
    <s v="P216"/>
    <x v="1"/>
    <s v="2024-07-29"/>
    <x v="2"/>
    <s v="Check out our latest story on youtube!"/>
    <x v="207"/>
    <x v="80"/>
    <x v="176"/>
    <n v="30180"/>
    <n v="29689"/>
    <n v="119"/>
    <s v="#ThirstyForMore"/>
    <s v="FestiveRadiance"/>
    <s v="#ThirstyForMore"/>
    <m/>
    <m/>
    <n v="5.8316766070245198E-2"/>
  </r>
  <r>
    <s v="P217"/>
    <x v="3"/>
    <s v="2024-12-03"/>
    <x v="4"/>
    <s v="Check out our latest image on facebook!"/>
    <x v="208"/>
    <x v="198"/>
    <x v="177"/>
    <n v="92120"/>
    <n v="91440"/>
    <n v="56"/>
    <s v="#PepsiCoRefresh"/>
    <m/>
    <s v="#PepsiCoRefresh"/>
    <m/>
    <m/>
    <n v="6.2603126356925748E-2"/>
  </r>
  <r>
    <s v="P218"/>
    <x v="3"/>
    <s v="2024-06-11"/>
    <x v="3"/>
    <s v="Check out our latest carousel on facebook!"/>
    <x v="209"/>
    <x v="199"/>
    <x v="178"/>
    <n v="14952"/>
    <n v="14309"/>
    <n v="275"/>
    <s v="#PepsiCoRefresh"/>
    <s v="DailyWellness"/>
    <s v="#PepsiCoRefresh"/>
    <m/>
    <m/>
    <n v="0.18806848582129482"/>
  </r>
  <r>
    <s v="P219"/>
    <x v="0"/>
    <s v="2025-01-28"/>
    <x v="0"/>
    <s v="Check out our latest reel on twitter!"/>
    <x v="210"/>
    <x v="200"/>
    <x v="68"/>
    <n v="7128"/>
    <n v="6145"/>
    <n v="270"/>
    <s v="#PepsiCoRefresh"/>
    <s v="DailyWellness"/>
    <s v="#PepsiCoRefresh"/>
    <m/>
    <m/>
    <n v="0.25701459034792368"/>
  </r>
  <r>
    <s v="P220"/>
    <x v="2"/>
    <s v="2024-06-02"/>
    <x v="2"/>
    <s v="Check out our latest story on instagram!"/>
    <x v="211"/>
    <x v="201"/>
    <x v="77"/>
    <n v="588"/>
    <n v="8"/>
    <n v="12"/>
    <s v="#ThirstyForMore"/>
    <m/>
    <s v="#ThirstyForMore"/>
    <m/>
    <m/>
    <n v="1.8129251700680271"/>
  </r>
  <r>
    <s v="P221"/>
    <x v="3"/>
    <s v="2025-03-23"/>
    <x v="5"/>
    <s v="Check out our latest video on facebook!"/>
    <x v="212"/>
    <x v="202"/>
    <x v="70"/>
    <n v="31171"/>
    <n v="30565"/>
    <n v="23"/>
    <s v="#PepsiCoRefresh"/>
    <m/>
    <s v="#PepsiCoRefresh"/>
    <m/>
    <m/>
    <n v="0.15989220750056141"/>
  </r>
  <r>
    <s v="P222"/>
    <x v="3"/>
    <s v="2024-10-08"/>
    <x v="0"/>
    <s v="Check out our latest reel on facebook!"/>
    <x v="213"/>
    <x v="188"/>
    <x v="179"/>
    <n v="25396"/>
    <n v="25286"/>
    <n v="39"/>
    <s v="#LiveForNow,#SmoothLikeNitroPepsi"/>
    <s v="SummerSplash"/>
    <s v="#LiveForNow"/>
    <s v="#SmoothLikeNitroPepsi"/>
    <m/>
    <n v="0.11143487163332809"/>
  </r>
  <r>
    <s v="P223"/>
    <x v="0"/>
    <s v="2024-11-12"/>
    <x v="4"/>
    <s v="Check out our latest image on twitter!"/>
    <x v="214"/>
    <x v="203"/>
    <x v="180"/>
    <n v="60084"/>
    <n v="59842"/>
    <n v="252"/>
    <s v="#PepsiCoRefresh"/>
    <m/>
    <s v="#PepsiCoRefresh"/>
    <m/>
    <m/>
    <n v="6.2129685107516146E-2"/>
  </r>
  <r>
    <s v="P224"/>
    <x v="3"/>
    <s v="2025-05-13"/>
    <x v="4"/>
    <s v="Check out our latest image on facebook!"/>
    <x v="215"/>
    <x v="204"/>
    <x v="137"/>
    <n v="4214"/>
    <n v="3363"/>
    <n v="164"/>
    <s v="#PepsiCoRefresh"/>
    <s v="NewYearRefresh"/>
    <s v="#PepsiCoRefresh"/>
    <m/>
    <m/>
    <n v="0.32083531086853345"/>
  </r>
  <r>
    <s v="P225"/>
    <x v="0"/>
    <s v="2024-06-20"/>
    <x v="3"/>
    <s v="Check out our latest carousel on twitter!"/>
    <x v="216"/>
    <x v="205"/>
    <x v="181"/>
    <n v="88768"/>
    <n v="87833"/>
    <n v="118"/>
    <s v="#ThirstyForMore"/>
    <m/>
    <s v="#ThirstyForMore"/>
    <m/>
    <m/>
    <n v="5.6653298485940883E-2"/>
  </r>
  <r>
    <s v="P226"/>
    <x v="2"/>
    <s v="2024-08-07"/>
    <x v="3"/>
    <s v="Check out our latest carousel on instagram!"/>
    <x v="217"/>
    <x v="206"/>
    <x v="182"/>
    <n v="8705"/>
    <n v="8272"/>
    <n v="121"/>
    <s v="#PepsiCoRefresh"/>
    <m/>
    <s v="#PepsiCoRefresh"/>
    <m/>
    <m/>
    <n v="0.25537047673750718"/>
  </r>
  <r>
    <s v="P227"/>
    <x v="2"/>
    <s v="2024-06-12"/>
    <x v="1"/>
    <s v="Check out our latest text on instagram!"/>
    <x v="218"/>
    <x v="207"/>
    <x v="130"/>
    <n v="4674"/>
    <n v="4390"/>
    <n v="217"/>
    <s v="#LiveForNow"/>
    <s v="NewYearRefresh"/>
    <s v="#LiveForNow"/>
    <m/>
    <m/>
    <n v="0.11232349165596919"/>
  </r>
  <r>
    <s v="P228"/>
    <x v="2"/>
    <s v="2024-07-01"/>
    <x v="2"/>
    <s v="Check out our latest story on instagram!"/>
    <x v="219"/>
    <x v="68"/>
    <x v="183"/>
    <n v="72120"/>
    <n v="71696"/>
    <n v="195"/>
    <s v="#ThirstyForMore"/>
    <s v="SummerSplash"/>
    <s v="#ThirstyForMore"/>
    <m/>
    <m/>
    <n v="8.1808097615085965E-2"/>
  </r>
  <r>
    <s v="P229"/>
    <x v="2"/>
    <s v="2024-07-03"/>
    <x v="3"/>
    <s v="Check out our latest carousel on instagram!"/>
    <x v="220"/>
    <x v="166"/>
    <x v="126"/>
    <n v="43191"/>
    <n v="42228"/>
    <n v="118"/>
    <s v="#PepsiCoRefresh"/>
    <m/>
    <s v="#PepsiCoRefresh"/>
    <m/>
    <m/>
    <n v="0.13387048227640017"/>
  </r>
  <r>
    <s v="P230"/>
    <x v="3"/>
    <s v="2024-07-15"/>
    <x v="0"/>
    <s v="Check out our latest reel on facebook!"/>
    <x v="221"/>
    <x v="106"/>
    <x v="51"/>
    <n v="51282"/>
    <n v="50567"/>
    <n v="84"/>
    <s v="#ThirstyForMore"/>
    <s v="NewYearRefresh"/>
    <s v="#ThirstyForMore"/>
    <m/>
    <m/>
    <n v="7.7512577512577507E-2"/>
  </r>
  <r>
    <s v="P231"/>
    <x v="2"/>
    <s v="2025-05-01"/>
    <x v="1"/>
    <s v="Check out our latest text on instagram!"/>
    <x v="222"/>
    <x v="208"/>
    <x v="184"/>
    <n v="21450"/>
    <n v="20509"/>
    <n v="251"/>
    <s v="#LiveForNow"/>
    <s v="SummerSplash"/>
    <s v="#LiveForNow"/>
    <m/>
    <m/>
    <n v="8.5734265734265735E-2"/>
  </r>
  <r>
    <s v="P232"/>
    <x v="0"/>
    <s v="2025-04-29"/>
    <x v="2"/>
    <s v="Check out our latest story on twitter!"/>
    <x v="223"/>
    <x v="209"/>
    <x v="177"/>
    <n v="1494"/>
    <n v="1044"/>
    <n v="201"/>
    <s v="#ThirstyForMore"/>
    <s v="DailyWellness"/>
    <s v="#ThirstyForMore"/>
    <m/>
    <m/>
    <n v="0.7168674698795181"/>
  </r>
  <r>
    <s v="P233"/>
    <x v="3"/>
    <s v="2025-03-08"/>
    <x v="4"/>
    <s v="Check out our latest image on facebook!"/>
    <x v="224"/>
    <x v="210"/>
    <x v="185"/>
    <n v="38112"/>
    <n v="37437"/>
    <n v="249"/>
    <s v="#LiveForNow"/>
    <s v="DailyWellness"/>
    <s v="#LiveForNow"/>
    <m/>
    <m/>
    <n v="7.2969143576826198E-2"/>
  </r>
  <r>
    <s v="P234"/>
    <x v="3"/>
    <s v="2024-06-01"/>
    <x v="1"/>
    <s v="Check out our latest text on facebook!"/>
    <x v="225"/>
    <x v="211"/>
    <x v="59"/>
    <n v="24168"/>
    <n v="23719"/>
    <n v="42"/>
    <s v="#PepsiCoRefresh"/>
    <m/>
    <s v="#PepsiCoRefresh"/>
    <m/>
    <m/>
    <n v="7.5968222442899705E-2"/>
  </r>
  <r>
    <s v="P235"/>
    <x v="3"/>
    <s v="2024-12-22"/>
    <x v="4"/>
    <s v="Check out our latest image on facebook!"/>
    <x v="226"/>
    <x v="147"/>
    <x v="157"/>
    <n v="35156"/>
    <n v="34444"/>
    <n v="241"/>
    <s v="#PepsiCoRefresh"/>
    <s v="NewYearRefresh"/>
    <s v="#PepsiCoRefresh"/>
    <m/>
    <m/>
    <n v="0.1283706906360223"/>
  </r>
  <r>
    <s v="P236"/>
    <x v="3"/>
    <s v="2024-08-19"/>
    <x v="1"/>
    <s v="Check out our latest text on facebook!"/>
    <x v="227"/>
    <x v="212"/>
    <x v="30"/>
    <n v="12570"/>
    <n v="11660"/>
    <n v="194"/>
    <s v="#LiveForNow,#AnytimeIsPepsiTime,#ThirstyForMore"/>
    <s v="FestiveRadiance"/>
    <s v="#LiveForNow"/>
    <s v="#AnytimeIsPepsiTime"/>
    <s v="#ThirstyForMore"/>
    <n v="0.12943516308671441"/>
  </r>
  <r>
    <s v="P237"/>
    <x v="2"/>
    <s v="2024-10-22"/>
    <x v="2"/>
    <s v="Check out our latest story on instagram!"/>
    <x v="228"/>
    <x v="213"/>
    <x v="159"/>
    <n v="71630"/>
    <n v="71322"/>
    <n v="76"/>
    <s v="#LiveForNow"/>
    <s v="SummerSplash"/>
    <s v="#LiveForNow"/>
    <m/>
    <m/>
    <n v="6.7234398994834563E-2"/>
  </r>
  <r>
    <s v="P238"/>
    <x v="0"/>
    <s v="2024-07-16"/>
    <x v="1"/>
    <s v="Check out our latest text on twitter!"/>
    <x v="229"/>
    <x v="32"/>
    <x v="186"/>
    <n v="75600"/>
    <n v="74927"/>
    <n v="43"/>
    <s v="#LiveForNow"/>
    <s v="DailyWellness"/>
    <s v="#LiveForNow"/>
    <m/>
    <m/>
    <n v="7.2579365079365077E-2"/>
  </r>
  <r>
    <s v="P239"/>
    <x v="1"/>
    <s v="2025-02-24"/>
    <x v="1"/>
    <s v="Check out our latest text on youtube!"/>
    <x v="230"/>
    <x v="214"/>
    <x v="180"/>
    <n v="20940"/>
    <n v="20471"/>
    <n v="102"/>
    <s v="#LiveForNow"/>
    <m/>
    <s v="#LiveForNow"/>
    <m/>
    <m/>
    <n v="0.25062082139446035"/>
  </r>
  <r>
    <s v="P240"/>
    <x v="0"/>
    <s v="2024-08-26"/>
    <x v="3"/>
    <s v="Check out our latest carousel on twitter!"/>
    <x v="231"/>
    <x v="215"/>
    <x v="187"/>
    <n v="16722"/>
    <n v="15996"/>
    <n v="145"/>
    <s v="#ThirstyForMore,#PepsiCoRefresh,#AnytimeIsPepsiTime"/>
    <s v="NewYearRefresh"/>
    <s v="#ThirstyForMore"/>
    <s v="#PepsiCoRefresh"/>
    <s v="#AnytimeIsPepsiTime"/>
    <n v="8.6293505561535699E-2"/>
  </r>
  <r>
    <s v="P241"/>
    <x v="3"/>
    <s v="2025-01-18"/>
    <x v="2"/>
    <s v="Check out our latest story on facebook!"/>
    <x v="232"/>
    <x v="216"/>
    <x v="188"/>
    <n v="30247"/>
    <n v="29254"/>
    <n v="122"/>
    <s v="#PepsiCoRefresh"/>
    <s v="DailyWellness"/>
    <s v="#PepsiCoRefresh"/>
    <m/>
    <m/>
    <n v="0.17743908486792079"/>
  </r>
  <r>
    <s v="P242"/>
    <x v="3"/>
    <s v="2024-07-07"/>
    <x v="0"/>
    <s v="Check out our latest reel on facebook!"/>
    <x v="233"/>
    <x v="217"/>
    <x v="189"/>
    <n v="28602"/>
    <n v="28044"/>
    <n v="210"/>
    <s v="#ThirstyForMore"/>
    <s v="NewYearRefresh"/>
    <s v="#ThirstyForMore"/>
    <m/>
    <m/>
    <n v="0.18519683938186141"/>
  </r>
  <r>
    <s v="P243"/>
    <x v="0"/>
    <s v="2025-03-06"/>
    <x v="4"/>
    <s v="Check out our latest image on twitter!"/>
    <x v="234"/>
    <x v="218"/>
    <x v="190"/>
    <n v="50288"/>
    <n v="49490"/>
    <n v="32"/>
    <s v="#LiveForNow"/>
    <s v="DailyWellness"/>
    <s v="#LiveForNow"/>
    <m/>
    <m/>
    <n v="9.7001272669424113E-2"/>
  </r>
  <r>
    <s v="P244"/>
    <x v="1"/>
    <s v="2024-10-25"/>
    <x v="5"/>
    <s v="Check out our latest video on youtube!"/>
    <x v="235"/>
    <x v="219"/>
    <x v="191"/>
    <n v="23305"/>
    <n v="22583"/>
    <n v="63"/>
    <s v="#LiveForNow"/>
    <s v="NewYearRefresh"/>
    <s v="#LiveForNow"/>
    <m/>
    <m/>
    <n v="0.25869984981763572"/>
  </r>
  <r>
    <s v="P245"/>
    <x v="3"/>
    <s v="2025-01-12"/>
    <x v="0"/>
    <s v="Check out our latest reel on facebook!"/>
    <x v="236"/>
    <x v="220"/>
    <x v="59"/>
    <n v="41340"/>
    <n v="41050"/>
    <n v="177"/>
    <s v="#ThirstyForMore"/>
    <s v="SummerSplash"/>
    <s v="#ThirstyForMore"/>
    <m/>
    <m/>
    <n v="0.12232704402515723"/>
  </r>
  <r>
    <s v="P246"/>
    <x v="3"/>
    <s v="2024-10-11"/>
    <x v="4"/>
    <s v="Check out our latest image on facebook!"/>
    <x v="237"/>
    <x v="221"/>
    <x v="116"/>
    <n v="6400"/>
    <n v="5472"/>
    <n v="160"/>
    <s v="#LiveForNow"/>
    <s v="FestiveRadiance"/>
    <s v="#LiveForNow"/>
    <m/>
    <m/>
    <n v="0.23656250000000001"/>
  </r>
  <r>
    <s v="P247"/>
    <x v="3"/>
    <s v="2024-08-27"/>
    <x v="0"/>
    <s v="Check out our latest reel on facebook!"/>
    <x v="238"/>
    <x v="222"/>
    <x v="192"/>
    <n v="35640"/>
    <n v="34850"/>
    <n v="208"/>
    <s v="#LiveForNow,#ThirstyForMore,#BetterWithPepsi"/>
    <m/>
    <s v="#LiveForNow"/>
    <s v="#ThirstyForMore"/>
    <s v="#BetterWithPepsi"/>
    <n v="0.11879910213243547"/>
  </r>
  <r>
    <s v="P248"/>
    <x v="3"/>
    <s v="2025-02-02"/>
    <x v="2"/>
    <s v="Check out our latest story on facebook!"/>
    <x v="239"/>
    <x v="66"/>
    <x v="43"/>
    <n v="4430"/>
    <n v="4037"/>
    <n v="212"/>
    <s v="#ThirstyForMore"/>
    <m/>
    <s v="#ThirstyForMore"/>
    <m/>
    <m/>
    <n v="0.26297968397291194"/>
  </r>
  <r>
    <s v="P249"/>
    <x v="0"/>
    <s v="2024-07-18"/>
    <x v="4"/>
    <s v="Check out our latest image on twitter!"/>
    <x v="240"/>
    <x v="223"/>
    <x v="193"/>
    <n v="14886"/>
    <n v="14129"/>
    <n v="254"/>
    <s v="#ThirstyForMore"/>
    <s v="FestiveRadiance"/>
    <s v="#ThirstyForMore"/>
    <m/>
    <m/>
    <n v="8.7733440816874911E-2"/>
  </r>
  <r>
    <s v="P250"/>
    <x v="3"/>
    <s v="2024-06-22"/>
    <x v="0"/>
    <s v="Check out our latest reel on facebook!"/>
    <x v="241"/>
    <x v="219"/>
    <x v="45"/>
    <n v="68634"/>
    <n v="68488"/>
    <n v="251"/>
    <s v="#LiveForNow"/>
    <m/>
    <s v="#LiveForNow"/>
    <m/>
    <m/>
    <n v="7.3170731707317069E-2"/>
  </r>
  <r>
    <s v="P251"/>
    <x v="2"/>
    <s v="2025-03-27"/>
    <x v="3"/>
    <s v="Check out our latest carousel on instagram!"/>
    <x v="242"/>
    <x v="224"/>
    <x v="53"/>
    <n v="22032"/>
    <n v="21869"/>
    <n v="189"/>
    <s v="#LiveForNow"/>
    <m/>
    <s v="#LiveForNow"/>
    <m/>
    <m/>
    <n v="0.11619462599854757"/>
  </r>
  <r>
    <s v="P252"/>
    <x v="3"/>
    <s v="2025-04-28"/>
    <x v="3"/>
    <s v="Check out our latest carousel on facebook!"/>
    <x v="243"/>
    <x v="192"/>
    <x v="194"/>
    <n v="16712"/>
    <n v="16309"/>
    <n v="64"/>
    <s v="#LiveForNow"/>
    <s v="NewYearRefresh"/>
    <s v="#LiveForNow"/>
    <m/>
    <m/>
    <n v="0.15761129727142173"/>
  </r>
  <r>
    <s v="P253"/>
    <x v="0"/>
    <s v="2024-08-03"/>
    <x v="0"/>
    <s v="Check out our latest reel on twitter!"/>
    <x v="244"/>
    <x v="225"/>
    <x v="195"/>
    <n v="53074"/>
    <n v="52613"/>
    <n v="205"/>
    <s v="#ThirstyForMore"/>
    <m/>
    <s v="#ThirstyForMore"/>
    <m/>
    <m/>
    <n v="8.6897539284772202E-2"/>
  </r>
  <r>
    <s v="P254"/>
    <x v="0"/>
    <s v="2025-01-14"/>
    <x v="4"/>
    <s v="Check out our latest image on twitter!"/>
    <x v="245"/>
    <x v="127"/>
    <x v="196"/>
    <n v="21536"/>
    <n v="21120"/>
    <n v="224"/>
    <s v="#LiveForNow"/>
    <s v="FestiveRadiance"/>
    <s v="#LiveForNow"/>
    <m/>
    <m/>
    <n v="0.13331166419019316"/>
  </r>
  <r>
    <s v="P255"/>
    <x v="3"/>
    <s v="2025-04-03"/>
    <x v="2"/>
    <s v="Check out our latest story on facebook!"/>
    <x v="246"/>
    <x v="226"/>
    <x v="99"/>
    <n v="37670"/>
    <n v="36807"/>
    <n v="226"/>
    <s v="#LiveForNow"/>
    <s v="DailyWellness"/>
    <s v="#LiveForNow"/>
    <m/>
    <m/>
    <n v="0.11996283514733209"/>
  </r>
  <r>
    <s v="P256"/>
    <x v="1"/>
    <s v="2024-09-18"/>
    <x v="3"/>
    <s v="Check out our latest carousel on youtube!"/>
    <x v="247"/>
    <x v="227"/>
    <x v="197"/>
    <n v="40717"/>
    <n v="40125"/>
    <n v="248"/>
    <s v="#ThirstyForMore"/>
    <s v="FestiveRadiance"/>
    <s v="#ThirstyForMore"/>
    <m/>
    <m/>
    <n v="5.7936488444630008E-2"/>
  </r>
  <r>
    <s v="P257"/>
    <x v="3"/>
    <s v="2025-04-06"/>
    <x v="4"/>
    <s v="Check out our latest image on facebook!"/>
    <x v="248"/>
    <x v="189"/>
    <x v="135"/>
    <n v="49440"/>
    <n v="48524"/>
    <n v="25"/>
    <s v="#ThirstyForMore,#ThirstyForMore,#BetterWithPepsi"/>
    <s v="FestiveRadiance"/>
    <s v="#ThirstyForMore"/>
    <s v="#ThirstyForMore"/>
    <s v="#BetterWithPepsi"/>
    <n v="7.9915048543689318E-2"/>
  </r>
  <r>
    <s v="P258"/>
    <x v="2"/>
    <s v="2024-08-05"/>
    <x v="2"/>
    <s v="Check out our latest story on instagram!"/>
    <x v="249"/>
    <x v="228"/>
    <x v="198"/>
    <n v="21606"/>
    <n v="21454"/>
    <n v="172"/>
    <s v="#ThirstyForMore"/>
    <s v="FestiveRadiance"/>
    <s v="#ThirstyForMore"/>
    <m/>
    <m/>
    <n v="0.2023049153013052"/>
  </r>
  <r>
    <s v="P259"/>
    <x v="3"/>
    <s v="2025-02-10"/>
    <x v="1"/>
    <s v="Check out our latest text on facebook!"/>
    <x v="250"/>
    <x v="150"/>
    <x v="199"/>
    <n v="3372"/>
    <n v="2940"/>
    <n v="93"/>
    <s v="#PepsiCoRefresh"/>
    <s v="SummerSplash"/>
    <s v="#PepsiCoRefresh"/>
    <m/>
    <m/>
    <n v="0.25771055753262156"/>
  </r>
  <r>
    <s v="P260"/>
    <x v="2"/>
    <s v="2025-02-12"/>
    <x v="2"/>
    <s v="Check out our latest story on instagram!"/>
    <x v="251"/>
    <x v="119"/>
    <x v="200"/>
    <n v="60648"/>
    <n v="60397"/>
    <n v="10"/>
    <s v="#PepsiCoRefresh,#ThirstyForMore,#BetterWithPepsi"/>
    <s v="NewYearRefresh"/>
    <s v="#PepsiCoRefresh"/>
    <s v="#ThirstyForMore"/>
    <s v="#BetterWithPepsi"/>
    <n v="8.7752275425405618E-2"/>
  </r>
  <r>
    <s v="P261"/>
    <x v="2"/>
    <s v="2024-10-27"/>
    <x v="4"/>
    <s v="Check out our latest image on instagram!"/>
    <x v="252"/>
    <x v="229"/>
    <x v="189"/>
    <n v="72795"/>
    <n v="72237"/>
    <n v="170"/>
    <s v="#ThirstyForMore"/>
    <s v="SummerSplash"/>
    <s v="#ThirstyForMore"/>
    <m/>
    <m/>
    <n v="8.2835359571399134E-2"/>
  </r>
  <r>
    <s v="P262"/>
    <x v="1"/>
    <s v="2025-01-18"/>
    <x v="4"/>
    <s v="Check out our latest image on youtube!"/>
    <x v="253"/>
    <x v="230"/>
    <x v="201"/>
    <n v="9648"/>
    <n v="9417"/>
    <n v="237"/>
    <s v="#PepsiCoRefresh"/>
    <m/>
    <s v="#PepsiCoRefresh"/>
    <m/>
    <m/>
    <n v="0.15339966832504145"/>
  </r>
  <r>
    <s v="P263"/>
    <x v="2"/>
    <s v="2024-08-20"/>
    <x v="0"/>
    <s v="Check out our latest reel on instagram!"/>
    <x v="254"/>
    <x v="231"/>
    <x v="65"/>
    <n v="13015"/>
    <n v="12130"/>
    <n v="20"/>
    <s v="#LiveForNow"/>
    <s v="FestiveRadiance"/>
    <s v="#LiveForNow"/>
    <m/>
    <m/>
    <n v="0.26876680752977333"/>
  </r>
  <r>
    <s v="P264"/>
    <x v="0"/>
    <s v="2025-01-30"/>
    <x v="4"/>
    <s v="Check out our latest image on twitter!"/>
    <x v="255"/>
    <x v="232"/>
    <x v="202"/>
    <n v="590"/>
    <n v="475"/>
    <n v="293"/>
    <s v="#PepsiCoRefresh"/>
    <s v="FestiveRadiance"/>
    <s v="#PepsiCoRefresh"/>
    <m/>
    <m/>
    <n v="0.53389830508474578"/>
  </r>
  <r>
    <s v="P265"/>
    <x v="0"/>
    <s v="2025-02-20"/>
    <x v="3"/>
    <s v="Check out our latest carousel on twitter!"/>
    <x v="256"/>
    <x v="233"/>
    <x v="109"/>
    <n v="11262"/>
    <n v="10967"/>
    <n v="41"/>
    <s v="#ThirstyForMore"/>
    <s v="DailyWellness"/>
    <s v="#ThirstyForMore"/>
    <m/>
    <m/>
    <n v="0.25279701651571657"/>
  </r>
  <r>
    <s v="P266"/>
    <x v="3"/>
    <s v="2024-11-25"/>
    <x v="2"/>
    <s v="Check out our latest story on facebook!"/>
    <x v="257"/>
    <x v="20"/>
    <x v="203"/>
    <n v="50184"/>
    <n v="49351"/>
    <n v="10"/>
    <s v="#PepsiCoRefresh"/>
    <s v="NewYearRefresh"/>
    <s v="#PepsiCoRefresh"/>
    <m/>
    <m/>
    <n v="0.10086880280567512"/>
  </r>
  <r>
    <s v="P267"/>
    <x v="0"/>
    <s v="2024-10-04"/>
    <x v="0"/>
    <s v="Check out our latest reel on twitter!"/>
    <x v="258"/>
    <x v="234"/>
    <x v="204"/>
    <n v="66992"/>
    <n v="66614"/>
    <n v="62"/>
    <s v="#LiveForNow"/>
    <m/>
    <s v="#LiveForNow"/>
    <m/>
    <m/>
    <n v="6.3947934081681396E-2"/>
  </r>
  <r>
    <s v="P268"/>
    <x v="2"/>
    <s v="2025-04-13"/>
    <x v="0"/>
    <s v="Check out our latest reel on instagram!"/>
    <x v="259"/>
    <x v="235"/>
    <x v="205"/>
    <n v="59527"/>
    <n v="59400"/>
    <n v="269"/>
    <s v="#ThirstyForMore"/>
    <s v="SummerSplash"/>
    <s v="#ThirstyForMore"/>
    <m/>
    <m/>
    <n v="8.4062694239588759E-2"/>
  </r>
  <r>
    <s v="P269"/>
    <x v="2"/>
    <s v="2024-11-05"/>
    <x v="5"/>
    <s v="Check out our latest video on instagram!"/>
    <x v="260"/>
    <x v="174"/>
    <x v="206"/>
    <n v="22805"/>
    <n v="21890"/>
    <n v="45"/>
    <s v="#PepsiCoRefresh"/>
    <s v="FestiveRadiance"/>
    <s v="#PepsiCoRefresh"/>
    <m/>
    <m/>
    <n v="0.22157421618066214"/>
  </r>
  <r>
    <s v="P270"/>
    <x v="1"/>
    <s v="2025-01-15"/>
    <x v="0"/>
    <s v="Check out our latest reel on youtube!"/>
    <x v="261"/>
    <x v="236"/>
    <x v="207"/>
    <n v="60384"/>
    <n v="59490"/>
    <n v="241"/>
    <s v="#PepsiCoRefresh"/>
    <s v="NewYearRefresh"/>
    <s v="#PepsiCoRefresh"/>
    <m/>
    <m/>
    <n v="6.7103868574456813E-2"/>
  </r>
  <r>
    <s v="P271"/>
    <x v="2"/>
    <s v="2024-10-17"/>
    <x v="5"/>
    <s v="Check out our latest video on instagram!"/>
    <x v="262"/>
    <x v="136"/>
    <x v="208"/>
    <n v="21450"/>
    <n v="20785"/>
    <n v="195"/>
    <s v="#ThirstyForMore"/>
    <s v="FestiveRadiance"/>
    <s v="#ThirstyForMore"/>
    <m/>
    <m/>
    <n v="0.20675990675990677"/>
  </r>
  <r>
    <s v="P272"/>
    <x v="2"/>
    <s v="2025-03-27"/>
    <x v="1"/>
    <s v="Check out our latest text on instagram!"/>
    <x v="263"/>
    <x v="237"/>
    <x v="125"/>
    <n v="39528"/>
    <n v="39154"/>
    <n v="217"/>
    <s v="#PepsiCoRefresh"/>
    <s v="NewYearRefresh"/>
    <s v="#PepsiCoRefresh"/>
    <m/>
    <m/>
    <n v="0.14220299534507186"/>
  </r>
  <r>
    <s v="P273"/>
    <x v="1"/>
    <s v="2024-10-12"/>
    <x v="2"/>
    <s v="Check out our latest story on youtube!"/>
    <x v="264"/>
    <x v="238"/>
    <x v="209"/>
    <n v="40051"/>
    <n v="39319"/>
    <n v="296"/>
    <s v="#ThirstyForMore"/>
    <s v="DailyWellness"/>
    <s v="#ThirstyForMore"/>
    <m/>
    <m/>
    <n v="9.7700431949264685E-2"/>
  </r>
  <r>
    <s v="P274"/>
    <x v="0"/>
    <s v="2025-01-01"/>
    <x v="3"/>
    <s v="Check out our latest carousel on twitter!"/>
    <x v="265"/>
    <x v="239"/>
    <x v="79"/>
    <n v="53025"/>
    <n v="52791"/>
    <n v="44"/>
    <s v="#PepsiCoRefresh"/>
    <s v="DailyWellness"/>
    <s v="#PepsiCoRefresh"/>
    <m/>
    <m/>
    <n v="7.8849599245638849E-2"/>
  </r>
  <r>
    <s v="P275"/>
    <x v="3"/>
    <s v="2024-08-05"/>
    <x v="0"/>
    <s v="Check out our latest reel on facebook!"/>
    <x v="217"/>
    <x v="240"/>
    <x v="210"/>
    <n v="17410"/>
    <n v="16844"/>
    <n v="58"/>
    <s v="#ThirstyForMore"/>
    <s v="NewYearRefresh"/>
    <s v="#ThirstyForMore"/>
    <m/>
    <m/>
    <n v="0.16754738655944859"/>
  </r>
  <r>
    <s v="P276"/>
    <x v="0"/>
    <s v="2024-06-07"/>
    <x v="3"/>
    <s v="Check out our latest carousel on twitter!"/>
    <x v="266"/>
    <x v="26"/>
    <x v="13"/>
    <n v="9336"/>
    <n v="8875"/>
    <n v="137"/>
    <s v="#PepsiCoRefresh"/>
    <s v="FestiveRadiance"/>
    <s v="#PepsiCoRefresh"/>
    <m/>
    <m/>
    <n v="0.2015852613538989"/>
  </r>
  <r>
    <s v="P277"/>
    <x v="3"/>
    <s v="2025-04-06"/>
    <x v="4"/>
    <s v="Check out our latest image on facebook!"/>
    <x v="267"/>
    <x v="241"/>
    <x v="211"/>
    <n v="21180"/>
    <n v="20516"/>
    <n v="238"/>
    <s v="#LiveForNow"/>
    <s v="SummerSplash"/>
    <s v="#LiveForNow"/>
    <m/>
    <m/>
    <n v="0.24763928234183191"/>
  </r>
  <r>
    <s v="P278"/>
    <x v="0"/>
    <s v="2024-11-26"/>
    <x v="1"/>
    <s v="Check out our latest text on twitter!"/>
    <x v="268"/>
    <x v="242"/>
    <x v="212"/>
    <n v="49676"/>
    <n v="49257"/>
    <n v="282"/>
    <s v="#ThirstyForMore"/>
    <s v="DailyWellness"/>
    <s v="#ThirstyForMore"/>
    <m/>
    <m/>
    <n v="0.11114018842096787"/>
  </r>
  <r>
    <s v="P279"/>
    <x v="1"/>
    <s v="2024-09-02"/>
    <x v="4"/>
    <s v="Check out our latest image on youtube!"/>
    <x v="269"/>
    <x v="243"/>
    <x v="159"/>
    <n v="98100"/>
    <n v="97772"/>
    <n v="279"/>
    <s v="#PepsiCoRefresh"/>
    <s v="FestiveRadiance"/>
    <s v="#PepsiCoRefresh"/>
    <m/>
    <m/>
    <n v="5.9928644240570844E-2"/>
  </r>
  <r>
    <s v="P280"/>
    <x v="1"/>
    <s v="2024-10-21"/>
    <x v="5"/>
    <s v="Check out our latest video on youtube!"/>
    <x v="270"/>
    <x v="221"/>
    <x v="213"/>
    <n v="64125"/>
    <n v="63650"/>
    <n v="104"/>
    <s v="#ThirstyForMore,#PepsiCoRefresh,#AnytimeIsPepsiTime"/>
    <s v="DailyWellness"/>
    <s v="#ThirstyForMore"/>
    <s v="#PepsiCoRefresh"/>
    <s v="#AnytimeIsPepsiTime"/>
    <n v="8.3274853801169585E-2"/>
  </r>
  <r>
    <s v="P281"/>
    <x v="1"/>
    <s v="2025-03-22"/>
    <x v="4"/>
    <s v="Check out our latest image on youtube!"/>
    <x v="271"/>
    <x v="244"/>
    <x v="214"/>
    <n v="56988"/>
    <n v="56125"/>
    <n v="135"/>
    <s v="#ThirstyForMore"/>
    <s v="FestiveRadiance"/>
    <s v="#ThirstyForMore"/>
    <m/>
    <m/>
    <n v="6.3118551273952411E-2"/>
  </r>
  <r>
    <s v="P282"/>
    <x v="2"/>
    <s v="2024-10-03"/>
    <x v="5"/>
    <s v="Check out our latest video on instagram!"/>
    <x v="272"/>
    <x v="245"/>
    <x v="215"/>
    <n v="19344"/>
    <n v="18395"/>
    <n v="30"/>
    <s v="#LiveForNow"/>
    <s v="NewYearRefresh"/>
    <s v="#LiveForNow"/>
    <m/>
    <m/>
    <n v="0.1071650124069479"/>
  </r>
  <r>
    <s v="P283"/>
    <x v="0"/>
    <s v="2025-05-09"/>
    <x v="0"/>
    <s v="Check out our latest reel on twitter!"/>
    <x v="273"/>
    <x v="246"/>
    <x v="216"/>
    <n v="63973"/>
    <n v="63789"/>
    <n v="157"/>
    <s v="#LiveForNow"/>
    <s v="FestiveRadiance"/>
    <s v="#LiveForNow"/>
    <m/>
    <m/>
    <n v="5.8243321401216137E-2"/>
  </r>
  <r>
    <s v="P284"/>
    <x v="0"/>
    <s v="2024-09-17"/>
    <x v="1"/>
    <s v="Check out our latest text on twitter!"/>
    <x v="274"/>
    <x v="217"/>
    <x v="217"/>
    <n v="9707"/>
    <n v="9418"/>
    <n v="231"/>
    <s v="#PepsiCoRefresh"/>
    <s v="DailyWellness"/>
    <s v="#PepsiCoRefresh"/>
    <m/>
    <m/>
    <n v="0.11465952405480581"/>
  </r>
  <r>
    <s v="P285"/>
    <x v="1"/>
    <s v="2024-07-18"/>
    <x v="1"/>
    <s v="Check out our latest text on youtube!"/>
    <x v="275"/>
    <x v="247"/>
    <x v="218"/>
    <n v="36189"/>
    <n v="35505"/>
    <n v="174"/>
    <s v="#ThirstyForMore"/>
    <m/>
    <s v="#ThirstyForMore"/>
    <m/>
    <m/>
    <n v="0.13517919809886983"/>
  </r>
  <r>
    <s v="P286"/>
    <x v="1"/>
    <s v="2024-09-25"/>
    <x v="5"/>
    <s v="Check out our latest video on youtube!"/>
    <x v="276"/>
    <x v="248"/>
    <x v="219"/>
    <n v="20334"/>
    <n v="19443"/>
    <n v="228"/>
    <s v="#LiveForNow"/>
    <s v="NewYearRefresh"/>
    <s v="#LiveForNow"/>
    <m/>
    <m/>
    <n v="0.19484607062063539"/>
  </r>
  <r>
    <s v="P287"/>
    <x v="2"/>
    <s v="2024-08-15"/>
    <x v="0"/>
    <s v="Check out our latest reel on instagram!"/>
    <x v="277"/>
    <x v="249"/>
    <x v="220"/>
    <n v="6984"/>
    <n v="6636"/>
    <n v="82"/>
    <s v="#ThirstyForMore"/>
    <s v="SummerSplash"/>
    <s v="#ThirstyForMore"/>
    <m/>
    <m/>
    <n v="0.30126002290950743"/>
  </r>
  <r>
    <s v="P288"/>
    <x v="1"/>
    <s v="2025-04-17"/>
    <x v="3"/>
    <s v="Check out our latest carousel on youtube!"/>
    <x v="278"/>
    <x v="250"/>
    <x v="221"/>
    <n v="86040"/>
    <n v="85743"/>
    <n v="262"/>
    <s v="#LiveForNow"/>
    <s v="NewYearRefresh"/>
    <s v="#LiveForNow"/>
    <m/>
    <m/>
    <n v="6.800325430032543E-2"/>
  </r>
  <r>
    <s v="P289"/>
    <x v="3"/>
    <s v="2024-11-28"/>
    <x v="3"/>
    <s v="Check out our latest carousel on facebook!"/>
    <x v="279"/>
    <x v="251"/>
    <x v="78"/>
    <n v="44016"/>
    <n v="43415"/>
    <n v="129"/>
    <s v="#LiveForNow"/>
    <m/>
    <s v="#LiveForNow"/>
    <m/>
    <m/>
    <n v="7.3018902217375503E-2"/>
  </r>
  <r>
    <s v="P290"/>
    <x v="2"/>
    <s v="2024-12-20"/>
    <x v="3"/>
    <s v="Check out our latest carousel on instagram!"/>
    <x v="280"/>
    <x v="143"/>
    <x v="222"/>
    <n v="35819"/>
    <n v="35340"/>
    <n v="191"/>
    <s v="#ThirstyForMore"/>
    <s v="DailyWellness"/>
    <s v="#ThirstyForMore"/>
    <m/>
    <m/>
    <n v="8.3921940869371006E-2"/>
  </r>
  <r>
    <s v="P291"/>
    <x v="3"/>
    <s v="2024-11-06"/>
    <x v="5"/>
    <s v="Check out our latest video on facebook!"/>
    <x v="281"/>
    <x v="252"/>
    <x v="109"/>
    <n v="69945"/>
    <n v="69596"/>
    <n v="35"/>
    <s v="#ThirstyForMore"/>
    <s v="DailyWellness"/>
    <s v="#ThirstyForMore"/>
    <m/>
    <m/>
    <n v="7.1956537279290869E-2"/>
  </r>
  <r>
    <s v="P292"/>
    <x v="3"/>
    <s v="2024-11-17"/>
    <x v="1"/>
    <s v="Check out our latest text on facebook!"/>
    <x v="282"/>
    <x v="253"/>
    <x v="210"/>
    <n v="12320"/>
    <n v="11978"/>
    <n v="238"/>
    <s v="#PepsiCoRefresh,#AnytimeIsPepsiTime"/>
    <m/>
    <s v="#PepsiCoRefresh"/>
    <s v="#AnytimeIsPepsiTime"/>
    <m/>
    <n v="0.12353896103896105"/>
  </r>
  <r>
    <s v="P293"/>
    <x v="3"/>
    <s v="2025-05-14"/>
    <x v="1"/>
    <s v="Check out our latest text on facebook!"/>
    <x v="283"/>
    <x v="254"/>
    <x v="111"/>
    <n v="28974"/>
    <n v="28102"/>
    <n v="277"/>
    <s v="#ThirstyForMore"/>
    <s v="SummerSplash"/>
    <s v="#ThirstyForMore"/>
    <m/>
    <m/>
    <n v="0.12428384068475185"/>
  </r>
  <r>
    <s v="P294"/>
    <x v="3"/>
    <s v="2024-06-19"/>
    <x v="3"/>
    <s v="Check out our latest carousel on facebook!"/>
    <x v="284"/>
    <x v="148"/>
    <x v="223"/>
    <n v="28386"/>
    <n v="28185"/>
    <n v="89"/>
    <s v="#ThirstyForMore"/>
    <s v="NewYearRefresh"/>
    <s v="#ThirstyForMore"/>
    <m/>
    <m/>
    <n v="0.18248432325794406"/>
  </r>
  <r>
    <s v="P295"/>
    <x v="0"/>
    <s v="2025-05-06"/>
    <x v="4"/>
    <s v="Check out our latest image on twitter!"/>
    <x v="285"/>
    <x v="248"/>
    <x v="129"/>
    <n v="15616"/>
    <n v="15403"/>
    <n v="235"/>
    <s v="#LiveForNow,#PepsiCoRefresh,#AnytimeIsPepsiTime"/>
    <s v="FestiveRadiance"/>
    <s v="#LiveForNow"/>
    <s v="#PepsiCoRefresh"/>
    <s v="#AnytimeIsPepsiTime"/>
    <n v="0.16540727459016394"/>
  </r>
  <r>
    <s v="P296"/>
    <x v="0"/>
    <s v="2025-02-11"/>
    <x v="5"/>
    <s v="Check out our latest video on twitter!"/>
    <x v="286"/>
    <x v="255"/>
    <x v="224"/>
    <n v="58480"/>
    <n v="58146"/>
    <n v="210"/>
    <s v="#PepsiCoRefresh,#SmoothLikeNitroPepsi"/>
    <s v="DailyWellness"/>
    <s v="#PepsiCoRefresh"/>
    <s v="#SmoothLikeNitroPepsi"/>
    <m/>
    <n v="5.9387824897400819E-2"/>
  </r>
  <r>
    <s v="P297"/>
    <x v="0"/>
    <s v="2024-12-24"/>
    <x v="1"/>
    <s v="Check out our latest text on twitter!"/>
    <x v="287"/>
    <x v="256"/>
    <x v="225"/>
    <n v="10830"/>
    <n v="10245"/>
    <n v="24"/>
    <s v="#ThirstyForMore"/>
    <s v="DailyWellness"/>
    <s v="#ThirstyForMore"/>
    <m/>
    <m/>
    <n v="0.24349030470914126"/>
  </r>
  <r>
    <s v="P298"/>
    <x v="3"/>
    <s v="2024-10-24"/>
    <x v="4"/>
    <s v="Check out our latest image on facebook!"/>
    <x v="288"/>
    <x v="112"/>
    <x v="91"/>
    <n v="86060"/>
    <n v="85823"/>
    <n v="14"/>
    <s v="#PepsiCoRefresh"/>
    <s v="NewYearRefresh"/>
    <s v="#PepsiCoRefresh"/>
    <m/>
    <m/>
    <n v="5.8563792702765516E-2"/>
  </r>
  <r>
    <s v="P299"/>
    <x v="3"/>
    <s v="2024-08-26"/>
    <x v="4"/>
    <s v="Check out our latest image on facebook!"/>
    <x v="289"/>
    <x v="257"/>
    <x v="225"/>
    <n v="23229"/>
    <n v="22331"/>
    <n v="70"/>
    <s v="#LiveForNow"/>
    <s v="NewYearRefresh"/>
    <s v="#LiveForNow"/>
    <m/>
    <m/>
    <n v="0.13840458048129492"/>
  </r>
  <r>
    <s v="P300"/>
    <x v="0"/>
    <s v="2024-08-31"/>
    <x v="3"/>
    <s v="Check out our latest carousel on twitter!"/>
    <x v="290"/>
    <x v="258"/>
    <x v="226"/>
    <n v="62916"/>
    <n v="62688"/>
    <n v="191"/>
    <s v="#PepsiCoRefresh,#ThirstyForMore,#BetterWithPepsi"/>
    <s v="SummerSplash"/>
    <s v="#PepsiCoRefresh"/>
    <s v="#ThirstyForMore"/>
    <s v="#BetterWithPepsi"/>
    <n v="8.3539958039290485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7">
  <r>
    <x v="0"/>
    <x v="0"/>
  </r>
  <r>
    <x v="0"/>
    <x v="1"/>
  </r>
  <r>
    <x v="1"/>
    <x v="2"/>
  </r>
  <r>
    <x v="1"/>
    <x v="3"/>
  </r>
  <r>
    <x v="2"/>
    <x v="2"/>
  </r>
  <r>
    <x v="3"/>
    <x v="4"/>
  </r>
  <r>
    <x v="4"/>
    <x v="4"/>
  </r>
  <r>
    <x v="4"/>
    <x v="2"/>
  </r>
  <r>
    <x v="5"/>
    <x v="2"/>
  </r>
  <r>
    <x v="6"/>
    <x v="2"/>
  </r>
  <r>
    <x v="7"/>
    <x v="4"/>
  </r>
  <r>
    <x v="8"/>
    <x v="2"/>
  </r>
  <r>
    <x v="9"/>
    <x v="2"/>
  </r>
  <r>
    <x v="10"/>
    <x v="0"/>
  </r>
  <r>
    <x v="11"/>
    <x v="0"/>
  </r>
  <r>
    <x v="12"/>
    <x v="4"/>
  </r>
  <r>
    <x v="13"/>
    <x v="0"/>
  </r>
  <r>
    <x v="14"/>
    <x v="0"/>
  </r>
  <r>
    <x v="15"/>
    <x v="0"/>
  </r>
  <r>
    <x v="16"/>
    <x v="4"/>
  </r>
  <r>
    <x v="17"/>
    <x v="0"/>
  </r>
  <r>
    <x v="18"/>
    <x v="2"/>
  </r>
  <r>
    <x v="19"/>
    <x v="2"/>
  </r>
  <r>
    <x v="20"/>
    <x v="0"/>
  </r>
  <r>
    <x v="21"/>
    <x v="2"/>
  </r>
  <r>
    <x v="22"/>
    <x v="2"/>
  </r>
  <r>
    <x v="22"/>
    <x v="1"/>
  </r>
  <r>
    <x v="23"/>
    <x v="0"/>
  </r>
  <r>
    <x v="24"/>
    <x v="4"/>
  </r>
  <r>
    <x v="25"/>
    <x v="0"/>
  </r>
  <r>
    <x v="26"/>
    <x v="0"/>
  </r>
  <r>
    <x v="27"/>
    <x v="0"/>
  </r>
  <r>
    <x v="28"/>
    <x v="0"/>
  </r>
  <r>
    <x v="29"/>
    <x v="4"/>
  </r>
  <r>
    <x v="30"/>
    <x v="2"/>
  </r>
  <r>
    <x v="31"/>
    <x v="4"/>
  </r>
  <r>
    <x v="32"/>
    <x v="2"/>
  </r>
  <r>
    <x v="33"/>
    <x v="2"/>
  </r>
  <r>
    <x v="34"/>
    <x v="0"/>
  </r>
  <r>
    <x v="35"/>
    <x v="4"/>
  </r>
  <r>
    <x v="36"/>
    <x v="4"/>
  </r>
  <r>
    <x v="15"/>
    <x v="2"/>
  </r>
  <r>
    <x v="37"/>
    <x v="2"/>
  </r>
  <r>
    <x v="38"/>
    <x v="4"/>
  </r>
  <r>
    <x v="39"/>
    <x v="0"/>
  </r>
  <r>
    <x v="40"/>
    <x v="4"/>
  </r>
  <r>
    <x v="41"/>
    <x v="2"/>
  </r>
  <r>
    <x v="42"/>
    <x v="2"/>
  </r>
  <r>
    <x v="43"/>
    <x v="0"/>
  </r>
  <r>
    <x v="44"/>
    <x v="2"/>
  </r>
  <r>
    <x v="45"/>
    <x v="0"/>
  </r>
  <r>
    <x v="46"/>
    <x v="2"/>
  </r>
  <r>
    <x v="47"/>
    <x v="2"/>
  </r>
  <r>
    <x v="48"/>
    <x v="2"/>
  </r>
  <r>
    <x v="22"/>
    <x v="0"/>
  </r>
  <r>
    <x v="49"/>
    <x v="2"/>
  </r>
  <r>
    <x v="50"/>
    <x v="4"/>
  </r>
  <r>
    <x v="50"/>
    <x v="3"/>
  </r>
  <r>
    <x v="51"/>
    <x v="0"/>
  </r>
  <r>
    <x v="52"/>
    <x v="4"/>
  </r>
  <r>
    <x v="53"/>
    <x v="0"/>
  </r>
  <r>
    <x v="54"/>
    <x v="2"/>
  </r>
  <r>
    <x v="55"/>
    <x v="2"/>
  </r>
  <r>
    <x v="56"/>
    <x v="4"/>
  </r>
  <r>
    <x v="57"/>
    <x v="4"/>
  </r>
  <r>
    <x v="57"/>
    <x v="2"/>
  </r>
  <r>
    <x v="57"/>
    <x v="1"/>
  </r>
  <r>
    <x v="10"/>
    <x v="2"/>
  </r>
  <r>
    <x v="58"/>
    <x v="2"/>
  </r>
  <r>
    <x v="59"/>
    <x v="0"/>
  </r>
  <r>
    <x v="60"/>
    <x v="0"/>
  </r>
  <r>
    <x v="61"/>
    <x v="4"/>
  </r>
  <r>
    <x v="62"/>
    <x v="4"/>
  </r>
  <r>
    <x v="63"/>
    <x v="4"/>
  </r>
  <r>
    <x v="64"/>
    <x v="4"/>
  </r>
  <r>
    <x v="65"/>
    <x v="0"/>
  </r>
  <r>
    <x v="66"/>
    <x v="2"/>
  </r>
  <r>
    <x v="67"/>
    <x v="2"/>
  </r>
  <r>
    <x v="68"/>
    <x v="4"/>
  </r>
  <r>
    <x v="68"/>
    <x v="0"/>
  </r>
  <r>
    <x v="52"/>
    <x v="2"/>
  </r>
  <r>
    <x v="69"/>
    <x v="2"/>
  </r>
  <r>
    <x v="70"/>
    <x v="2"/>
  </r>
  <r>
    <x v="71"/>
    <x v="2"/>
  </r>
  <r>
    <x v="72"/>
    <x v="0"/>
  </r>
  <r>
    <x v="73"/>
    <x v="4"/>
  </r>
  <r>
    <x v="74"/>
    <x v="0"/>
  </r>
  <r>
    <x v="75"/>
    <x v="2"/>
  </r>
  <r>
    <x v="76"/>
    <x v="0"/>
  </r>
  <r>
    <x v="76"/>
    <x v="2"/>
  </r>
  <r>
    <x v="76"/>
    <x v="1"/>
  </r>
  <r>
    <x v="48"/>
    <x v="4"/>
  </r>
  <r>
    <x v="69"/>
    <x v="0"/>
  </r>
  <r>
    <x v="77"/>
    <x v="0"/>
  </r>
  <r>
    <x v="78"/>
    <x v="4"/>
  </r>
  <r>
    <x v="78"/>
    <x v="3"/>
  </r>
  <r>
    <x v="79"/>
    <x v="0"/>
  </r>
  <r>
    <x v="19"/>
    <x v="2"/>
  </r>
  <r>
    <x v="80"/>
    <x v="4"/>
  </r>
  <r>
    <x v="81"/>
    <x v="2"/>
  </r>
  <r>
    <x v="41"/>
    <x v="4"/>
  </r>
  <r>
    <x v="82"/>
    <x v="0"/>
  </r>
  <r>
    <x v="83"/>
    <x v="4"/>
  </r>
  <r>
    <x v="84"/>
    <x v="0"/>
  </r>
  <r>
    <x v="85"/>
    <x v="0"/>
  </r>
  <r>
    <x v="52"/>
    <x v="0"/>
  </r>
  <r>
    <x v="36"/>
    <x v="2"/>
  </r>
  <r>
    <x v="36"/>
    <x v="1"/>
  </r>
  <r>
    <x v="86"/>
    <x v="0"/>
  </r>
  <r>
    <x v="51"/>
    <x v="4"/>
  </r>
  <r>
    <x v="87"/>
    <x v="0"/>
  </r>
  <r>
    <x v="88"/>
    <x v="4"/>
  </r>
  <r>
    <x v="89"/>
    <x v="4"/>
  </r>
  <r>
    <x v="90"/>
    <x v="2"/>
  </r>
  <r>
    <x v="91"/>
    <x v="0"/>
  </r>
  <r>
    <x v="92"/>
    <x v="2"/>
  </r>
  <r>
    <x v="93"/>
    <x v="2"/>
  </r>
  <r>
    <x v="94"/>
    <x v="2"/>
  </r>
  <r>
    <x v="9"/>
    <x v="0"/>
  </r>
  <r>
    <x v="95"/>
    <x v="4"/>
  </r>
  <r>
    <x v="96"/>
    <x v="2"/>
  </r>
  <r>
    <x v="81"/>
    <x v="0"/>
  </r>
  <r>
    <x v="97"/>
    <x v="4"/>
  </r>
  <r>
    <x v="98"/>
    <x v="0"/>
  </r>
  <r>
    <x v="78"/>
    <x v="2"/>
  </r>
  <r>
    <x v="78"/>
    <x v="1"/>
  </r>
  <r>
    <x v="8"/>
    <x v="2"/>
  </r>
  <r>
    <x v="99"/>
    <x v="4"/>
  </r>
  <r>
    <x v="100"/>
    <x v="0"/>
  </r>
  <r>
    <x v="1"/>
    <x v="0"/>
  </r>
  <r>
    <x v="101"/>
    <x v="4"/>
  </r>
  <r>
    <x v="102"/>
    <x v="0"/>
  </r>
  <r>
    <x v="103"/>
    <x v="4"/>
  </r>
  <r>
    <x v="104"/>
    <x v="4"/>
  </r>
  <r>
    <x v="17"/>
    <x v="4"/>
  </r>
  <r>
    <x v="105"/>
    <x v="2"/>
  </r>
  <r>
    <x v="106"/>
    <x v="0"/>
  </r>
  <r>
    <x v="107"/>
    <x v="0"/>
  </r>
  <r>
    <x v="108"/>
    <x v="2"/>
  </r>
  <r>
    <x v="109"/>
    <x v="4"/>
  </r>
  <r>
    <x v="100"/>
    <x v="0"/>
  </r>
  <r>
    <x v="110"/>
    <x v="0"/>
  </r>
  <r>
    <x v="19"/>
    <x v="2"/>
  </r>
  <r>
    <x v="18"/>
    <x v="2"/>
  </r>
  <r>
    <x v="111"/>
    <x v="0"/>
  </r>
  <r>
    <x v="112"/>
    <x v="4"/>
  </r>
  <r>
    <x v="113"/>
    <x v="0"/>
  </r>
  <r>
    <x v="114"/>
    <x v="0"/>
  </r>
  <r>
    <x v="115"/>
    <x v="4"/>
  </r>
  <r>
    <x v="97"/>
    <x v="4"/>
  </r>
  <r>
    <x v="97"/>
    <x v="5"/>
  </r>
  <r>
    <x v="116"/>
    <x v="0"/>
  </r>
  <r>
    <x v="12"/>
    <x v="0"/>
  </r>
  <r>
    <x v="1"/>
    <x v="2"/>
  </r>
  <r>
    <x v="117"/>
    <x v="4"/>
  </r>
  <r>
    <x v="106"/>
    <x v="2"/>
  </r>
  <r>
    <x v="76"/>
    <x v="4"/>
  </r>
  <r>
    <x v="76"/>
    <x v="1"/>
  </r>
  <r>
    <x v="118"/>
    <x v="2"/>
  </r>
  <r>
    <x v="43"/>
    <x v="4"/>
  </r>
  <r>
    <x v="119"/>
    <x v="4"/>
  </r>
  <r>
    <x v="120"/>
    <x v="2"/>
  </r>
  <r>
    <x v="121"/>
    <x v="4"/>
  </r>
  <r>
    <x v="122"/>
    <x v="4"/>
  </r>
  <r>
    <x v="89"/>
    <x v="2"/>
  </r>
  <r>
    <x v="123"/>
    <x v="0"/>
  </r>
  <r>
    <x v="118"/>
    <x v="0"/>
  </r>
  <r>
    <x v="116"/>
    <x v="0"/>
  </r>
  <r>
    <x v="124"/>
    <x v="0"/>
  </r>
  <r>
    <x v="19"/>
    <x v="2"/>
  </r>
  <r>
    <x v="125"/>
    <x v="0"/>
  </r>
  <r>
    <x v="14"/>
    <x v="2"/>
  </r>
  <r>
    <x v="126"/>
    <x v="2"/>
  </r>
  <r>
    <x v="127"/>
    <x v="0"/>
  </r>
  <r>
    <x v="128"/>
    <x v="2"/>
  </r>
  <r>
    <x v="54"/>
    <x v="2"/>
  </r>
  <r>
    <x v="54"/>
    <x v="1"/>
  </r>
  <r>
    <x v="77"/>
    <x v="2"/>
  </r>
  <r>
    <x v="129"/>
    <x v="0"/>
  </r>
  <r>
    <x v="83"/>
    <x v="0"/>
  </r>
  <r>
    <x v="93"/>
    <x v="4"/>
  </r>
  <r>
    <x v="20"/>
    <x v="4"/>
  </r>
  <r>
    <x v="130"/>
    <x v="2"/>
  </r>
  <r>
    <x v="131"/>
    <x v="0"/>
  </r>
  <r>
    <x v="132"/>
    <x v="4"/>
  </r>
  <r>
    <x v="133"/>
    <x v="0"/>
  </r>
  <r>
    <x v="6"/>
    <x v="4"/>
  </r>
  <r>
    <x v="134"/>
    <x v="0"/>
  </r>
  <r>
    <x v="73"/>
    <x v="2"/>
  </r>
  <r>
    <x v="51"/>
    <x v="2"/>
  </r>
  <r>
    <x v="24"/>
    <x v="2"/>
  </r>
  <r>
    <x v="135"/>
    <x v="2"/>
  </r>
  <r>
    <x v="50"/>
    <x v="2"/>
  </r>
  <r>
    <x v="136"/>
    <x v="4"/>
  </r>
  <r>
    <x v="86"/>
    <x v="2"/>
  </r>
  <r>
    <x v="137"/>
    <x v="0"/>
  </r>
  <r>
    <x v="138"/>
    <x v="4"/>
  </r>
  <r>
    <x v="139"/>
    <x v="4"/>
  </r>
  <r>
    <x v="103"/>
    <x v="4"/>
  </r>
  <r>
    <x v="140"/>
    <x v="4"/>
  </r>
  <r>
    <x v="41"/>
    <x v="0"/>
  </r>
  <r>
    <x v="141"/>
    <x v="2"/>
  </r>
  <r>
    <x v="142"/>
    <x v="0"/>
  </r>
  <r>
    <x v="26"/>
    <x v="0"/>
  </r>
  <r>
    <x v="111"/>
    <x v="4"/>
  </r>
  <r>
    <x v="88"/>
    <x v="4"/>
  </r>
  <r>
    <x v="143"/>
    <x v="4"/>
  </r>
  <r>
    <x v="30"/>
    <x v="0"/>
  </r>
  <r>
    <x v="30"/>
    <x v="2"/>
  </r>
  <r>
    <x v="30"/>
    <x v="1"/>
  </r>
  <r>
    <x v="144"/>
    <x v="4"/>
  </r>
  <r>
    <x v="17"/>
    <x v="4"/>
  </r>
  <r>
    <x v="107"/>
    <x v="2"/>
  </r>
  <r>
    <x v="113"/>
    <x v="2"/>
  </r>
  <r>
    <x v="105"/>
    <x v="2"/>
  </r>
  <r>
    <x v="145"/>
    <x v="4"/>
  </r>
  <r>
    <x v="146"/>
    <x v="4"/>
  </r>
  <r>
    <x v="147"/>
    <x v="0"/>
  </r>
  <r>
    <x v="148"/>
    <x v="0"/>
  </r>
  <r>
    <x v="149"/>
    <x v="2"/>
  </r>
  <r>
    <x v="149"/>
    <x v="5"/>
  </r>
  <r>
    <x v="15"/>
    <x v="4"/>
  </r>
  <r>
    <x v="150"/>
    <x v="2"/>
  </r>
  <r>
    <x v="150"/>
    <x v="5"/>
  </r>
  <r>
    <x v="151"/>
    <x v="2"/>
  </r>
  <r>
    <x v="145"/>
    <x v="0"/>
  </r>
  <r>
    <x v="145"/>
    <x v="1"/>
  </r>
  <r>
    <x v="152"/>
    <x v="0"/>
  </r>
  <r>
    <x v="72"/>
    <x v="0"/>
  </r>
  <r>
    <x v="99"/>
    <x v="2"/>
  </r>
  <r>
    <x v="153"/>
    <x v="4"/>
  </r>
  <r>
    <x v="30"/>
    <x v="0"/>
  </r>
  <r>
    <x v="154"/>
    <x v="4"/>
  </r>
  <r>
    <x v="46"/>
    <x v="4"/>
  </r>
  <r>
    <x v="155"/>
    <x v="2"/>
  </r>
  <r>
    <x v="31"/>
    <x v="2"/>
  </r>
  <r>
    <x v="95"/>
    <x v="2"/>
  </r>
  <r>
    <x v="87"/>
    <x v="4"/>
  </r>
  <r>
    <x v="156"/>
    <x v="2"/>
  </r>
  <r>
    <x v="7"/>
    <x v="0"/>
  </r>
  <r>
    <x v="7"/>
    <x v="5"/>
  </r>
  <r>
    <x v="157"/>
    <x v="2"/>
  </r>
  <r>
    <x v="158"/>
    <x v="2"/>
  </r>
  <r>
    <x v="159"/>
    <x v="4"/>
  </r>
  <r>
    <x v="160"/>
    <x v="2"/>
  </r>
  <r>
    <x v="161"/>
    <x v="0"/>
  </r>
  <r>
    <x v="143"/>
    <x v="4"/>
  </r>
  <r>
    <x v="159"/>
    <x v="2"/>
  </r>
  <r>
    <x v="57"/>
    <x v="4"/>
  </r>
  <r>
    <x v="138"/>
    <x v="0"/>
  </r>
  <r>
    <x v="162"/>
    <x v="4"/>
  </r>
  <r>
    <x v="163"/>
    <x v="0"/>
  </r>
  <r>
    <x v="164"/>
    <x v="2"/>
  </r>
  <r>
    <x v="40"/>
    <x v="2"/>
  </r>
  <r>
    <x v="165"/>
    <x v="0"/>
  </r>
  <r>
    <x v="165"/>
    <x v="1"/>
  </r>
  <r>
    <x v="165"/>
    <x v="4"/>
  </r>
  <r>
    <x v="119"/>
    <x v="0"/>
  </r>
  <r>
    <x v="66"/>
    <x v="0"/>
  </r>
  <r>
    <x v="166"/>
    <x v="0"/>
  </r>
  <r>
    <x v="142"/>
    <x v="4"/>
  </r>
  <r>
    <x v="142"/>
    <x v="2"/>
  </r>
  <r>
    <x v="142"/>
    <x v="1"/>
  </r>
  <r>
    <x v="121"/>
    <x v="2"/>
  </r>
  <r>
    <x v="167"/>
    <x v="4"/>
  </r>
  <r>
    <x v="91"/>
    <x v="0"/>
  </r>
  <r>
    <x v="71"/>
    <x v="0"/>
  </r>
  <r>
    <x v="47"/>
    <x v="4"/>
  </r>
  <r>
    <x v="168"/>
    <x v="0"/>
  </r>
  <r>
    <x v="137"/>
    <x v="0"/>
  </r>
  <r>
    <x v="137"/>
    <x v="4"/>
  </r>
  <r>
    <x v="137"/>
    <x v="3"/>
  </r>
  <r>
    <x v="89"/>
    <x v="4"/>
  </r>
  <r>
    <x v="169"/>
    <x v="4"/>
  </r>
  <r>
    <x v="138"/>
    <x v="0"/>
  </r>
  <r>
    <x v="170"/>
    <x v="0"/>
  </r>
  <r>
    <x v="123"/>
    <x v="0"/>
  </r>
  <r>
    <x v="39"/>
    <x v="4"/>
  </r>
  <r>
    <x v="4"/>
    <x v="0"/>
  </r>
  <r>
    <x v="171"/>
    <x v="0"/>
  </r>
  <r>
    <x v="153"/>
    <x v="4"/>
  </r>
  <r>
    <x v="19"/>
    <x v="4"/>
  </r>
  <r>
    <x v="19"/>
    <x v="4"/>
  </r>
  <r>
    <x v="19"/>
    <x v="3"/>
  </r>
  <r>
    <x v="172"/>
    <x v="4"/>
  </r>
  <r>
    <x v="29"/>
    <x v="2"/>
  </r>
  <r>
    <x v="97"/>
    <x v="2"/>
  </r>
  <r>
    <x v="97"/>
    <x v="4"/>
  </r>
  <r>
    <x v="97"/>
    <x v="3"/>
  </r>
  <r>
    <x v="108"/>
    <x v="4"/>
  </r>
  <r>
    <x v="173"/>
    <x v="2"/>
  </r>
  <r>
    <x v="14"/>
    <x v="0"/>
  </r>
  <r>
    <x v="174"/>
    <x v="2"/>
  </r>
  <r>
    <x v="175"/>
    <x v="4"/>
  </r>
  <r>
    <x v="97"/>
    <x v="2"/>
  </r>
  <r>
    <x v="176"/>
    <x v="0"/>
  </r>
  <r>
    <x v="177"/>
    <x v="4"/>
  </r>
  <r>
    <x v="178"/>
    <x v="2"/>
  </r>
  <r>
    <x v="40"/>
    <x v="2"/>
  </r>
  <r>
    <x v="143"/>
    <x v="4"/>
  </r>
  <r>
    <x v="161"/>
    <x v="2"/>
  </r>
  <r>
    <x v="179"/>
    <x v="4"/>
  </r>
  <r>
    <x v="98"/>
    <x v="2"/>
  </r>
  <r>
    <x v="180"/>
    <x v="4"/>
  </r>
  <r>
    <x v="41"/>
    <x v="2"/>
  </r>
  <r>
    <x v="24"/>
    <x v="0"/>
  </r>
  <r>
    <x v="30"/>
    <x v="4"/>
  </r>
  <r>
    <x v="181"/>
    <x v="2"/>
  </r>
  <r>
    <x v="129"/>
    <x v="4"/>
  </r>
  <r>
    <x v="129"/>
    <x v="2"/>
  </r>
  <r>
    <x v="129"/>
    <x v="1"/>
  </r>
  <r>
    <x v="151"/>
    <x v="4"/>
  </r>
  <r>
    <x v="182"/>
    <x v="0"/>
  </r>
  <r>
    <x v="104"/>
    <x v="0"/>
  </r>
  <r>
    <x v="183"/>
    <x v="2"/>
  </r>
  <r>
    <x v="56"/>
    <x v="4"/>
  </r>
  <r>
    <x v="184"/>
    <x v="0"/>
  </r>
  <r>
    <x v="185"/>
    <x v="4"/>
  </r>
  <r>
    <x v="55"/>
    <x v="0"/>
  </r>
  <r>
    <x v="150"/>
    <x v="0"/>
  </r>
  <r>
    <x v="186"/>
    <x v="4"/>
  </r>
  <r>
    <x v="187"/>
    <x v="4"/>
  </r>
  <r>
    <x v="24"/>
    <x v="2"/>
  </r>
  <r>
    <x v="24"/>
    <x v="1"/>
  </r>
  <r>
    <x v="113"/>
    <x v="4"/>
  </r>
  <r>
    <x v="154"/>
    <x v="4"/>
  </r>
  <r>
    <x v="6"/>
    <x v="0"/>
  </r>
  <r>
    <x v="6"/>
    <x v="2"/>
  </r>
  <r>
    <x v="6"/>
    <x v="1"/>
  </r>
  <r>
    <x v="167"/>
    <x v="2"/>
  </r>
  <r>
    <x v="167"/>
    <x v="5"/>
  </r>
  <r>
    <x v="188"/>
    <x v="4"/>
  </r>
  <r>
    <x v="189"/>
    <x v="2"/>
  </r>
  <r>
    <x v="190"/>
    <x v="0"/>
  </r>
  <r>
    <x v="186"/>
    <x v="2"/>
  </r>
  <r>
    <x v="186"/>
    <x v="4"/>
  </r>
  <r>
    <x v="186"/>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s v="P001"/>
    <x v="0"/>
    <s v="2024-12-23"/>
    <x v="0"/>
    <s v="Check out our latest reel on twitter!"/>
    <n v="1461"/>
    <n v="184"/>
    <x v="0"/>
    <n v="21915"/>
    <n v="21675"/>
    <n v="15"/>
    <s v="#LiveForNow,#AnytimeIsPepsiTime"/>
    <x v="0"/>
    <x v="0"/>
    <x v="0"/>
    <x v="0"/>
    <n v="9.0759753593429152E-2"/>
    <n v="1989"/>
  </r>
  <r>
    <s v="P002"/>
    <x v="0"/>
    <s v="2025-04-03"/>
    <x v="1"/>
    <s v="Check out our latest text on twitter!"/>
    <n v="4054"/>
    <n v="389"/>
    <x v="1"/>
    <n v="64864"/>
    <n v="64383"/>
    <n v="117"/>
    <s v="#PepsiCoRefresh,#BetterWithPepsi"/>
    <x v="1"/>
    <x v="1"/>
    <x v="1"/>
    <x v="0"/>
    <n v="7.6097681302417369E-2"/>
    <n v="4936"/>
  </r>
  <r>
    <s v="P003"/>
    <x v="1"/>
    <s v="2025-05-12"/>
    <x v="0"/>
    <s v="Check out our latest reel on youtube!"/>
    <n v="2795"/>
    <n v="105"/>
    <x v="2"/>
    <n v="53105"/>
    <n v="52307"/>
    <n v="204"/>
    <s v="#PepsiCoRefresh"/>
    <x v="2"/>
    <x v="1"/>
    <x v="2"/>
    <x v="0"/>
    <n v="5.5531494209584788E-2"/>
    <n v="2949"/>
  </r>
  <r>
    <s v="P004"/>
    <x v="2"/>
    <s v="2024-08-12"/>
    <x v="2"/>
    <s v="Check out our latest story on instagram!"/>
    <n v="2404"/>
    <n v="363"/>
    <x v="3"/>
    <n v="19232"/>
    <n v="18636"/>
    <n v="128"/>
    <s v="#ThirstyForMore"/>
    <x v="3"/>
    <x v="2"/>
    <x v="2"/>
    <x v="0"/>
    <n v="0.15105033277870217"/>
    <n v="2905"/>
  </r>
  <r>
    <s v="P005"/>
    <x v="1"/>
    <s v="2024-06-26"/>
    <x v="0"/>
    <s v="Check out our latest reel on youtube!"/>
    <n v="3557"/>
    <n v="687"/>
    <x v="4"/>
    <n v="71140"/>
    <n v="70701"/>
    <n v="224"/>
    <s v="#ThirstyForMore,#PepsiCoRefresh"/>
    <x v="0"/>
    <x v="2"/>
    <x v="3"/>
    <x v="0"/>
    <n v="6.5617093055946027E-2"/>
    <n v="4668"/>
  </r>
  <r>
    <s v="P006"/>
    <x v="3"/>
    <s v="2024-10-31"/>
    <x v="3"/>
    <s v="Check out our latest carousel on facebook!"/>
    <n v="2945"/>
    <n v="930"/>
    <x v="5"/>
    <n v="23560"/>
    <n v="23275"/>
    <n v="256"/>
    <s v="#PepsiCoRefresh"/>
    <x v="1"/>
    <x v="1"/>
    <x v="2"/>
    <x v="0"/>
    <n v="0.17954159592529711"/>
    <n v="4230"/>
  </r>
  <r>
    <s v="P007"/>
    <x v="0"/>
    <s v="2024-06-24"/>
    <x v="3"/>
    <s v="Check out our latest carousel on twitter!"/>
    <n v="3860"/>
    <n v="201"/>
    <x v="6"/>
    <n v="61760"/>
    <n v="61660"/>
    <n v="235"/>
    <s v="#PepsiCoRefresh"/>
    <x v="1"/>
    <x v="1"/>
    <x v="2"/>
    <x v="0"/>
    <n v="7.0272020725388601E-2"/>
    <n v="4340"/>
  </r>
  <r>
    <s v="P008"/>
    <x v="1"/>
    <s v="2024-07-13"/>
    <x v="4"/>
    <s v="Check out our latest image on youtube!"/>
    <n v="3929"/>
    <n v="262"/>
    <x v="7"/>
    <n v="43219"/>
    <n v="42841"/>
    <n v="39"/>
    <s v="#ThirstyForMore"/>
    <x v="3"/>
    <x v="2"/>
    <x v="2"/>
    <x v="0"/>
    <n v="0.10340359564080613"/>
    <n v="4469"/>
  </r>
  <r>
    <s v="P009"/>
    <x v="3"/>
    <s v="2024-08-30"/>
    <x v="1"/>
    <s v="Check out our latest text on facebook!"/>
    <n v="3784"/>
    <n v="808"/>
    <x v="8"/>
    <n v="56760"/>
    <n v="56343"/>
    <n v="131"/>
    <s v="#PepsiCoRefresh"/>
    <x v="1"/>
    <x v="1"/>
    <x v="2"/>
    <x v="0"/>
    <n v="8.8019732205778717E-2"/>
    <n v="4996"/>
  </r>
  <r>
    <s v="P010"/>
    <x v="3"/>
    <s v="2025-03-11"/>
    <x v="4"/>
    <s v="Check out our latest image on facebook!"/>
    <n v="4241"/>
    <n v="902"/>
    <x v="9"/>
    <n v="72097"/>
    <n v="71598"/>
    <n v="167"/>
    <s v="#PepsiCoRefresh"/>
    <x v="1"/>
    <x v="1"/>
    <x v="2"/>
    <x v="0"/>
    <n v="7.198635172059864E-2"/>
    <n v="5190"/>
  </r>
  <r>
    <s v="P011"/>
    <x v="2"/>
    <s v="2025-02-02"/>
    <x v="2"/>
    <s v="Check out our latest story on instagram!"/>
    <n v="1792"/>
    <n v="614"/>
    <x v="10"/>
    <n v="25088"/>
    <n v="24675"/>
    <n v="65"/>
    <s v="#LiveForNow"/>
    <x v="3"/>
    <x v="0"/>
    <x v="2"/>
    <x v="0"/>
    <n v="0.11571269132653061"/>
    <n v="2903"/>
  </r>
  <r>
    <s v="P012"/>
    <x v="3"/>
    <s v="2024-07-21"/>
    <x v="0"/>
    <s v="Check out our latest reel on facebook!"/>
    <n v="1946"/>
    <n v="686"/>
    <x v="11"/>
    <n v="23352"/>
    <n v="22982"/>
    <n v="213"/>
    <s v="#LiveForNow"/>
    <x v="2"/>
    <x v="0"/>
    <x v="2"/>
    <x v="0"/>
    <n v="0.12885405960945528"/>
    <n v="3009"/>
  </r>
  <r>
    <s v="P013"/>
    <x v="1"/>
    <s v="2024-11-18"/>
    <x v="3"/>
    <s v="Check out our latest carousel on youtube!"/>
    <n v="1171"/>
    <n v="286"/>
    <x v="12"/>
    <n v="22249"/>
    <n v="21282"/>
    <n v="114"/>
    <s v="#ThirstyForMore"/>
    <x v="0"/>
    <x v="2"/>
    <x v="2"/>
    <x v="0"/>
    <n v="7.5868578363072495E-2"/>
    <n v="1688"/>
  </r>
  <r>
    <s v="P014"/>
    <x v="3"/>
    <s v="2025-02-16"/>
    <x v="2"/>
    <s v="Check out our latest story on facebook!"/>
    <n v="4242"/>
    <n v="555"/>
    <x v="13"/>
    <n v="33936"/>
    <n v="33802"/>
    <n v="265"/>
    <s v="#LiveForNow"/>
    <x v="4"/>
    <x v="0"/>
    <x v="2"/>
    <x v="0"/>
    <n v="0.14521452145214522"/>
    <n v="4928"/>
  </r>
  <r>
    <s v="P015"/>
    <x v="3"/>
    <s v="2024-10-24"/>
    <x v="5"/>
    <s v="Check out our latest video on facebook!"/>
    <n v="3888"/>
    <n v="604"/>
    <x v="14"/>
    <n v="77760"/>
    <n v="77167"/>
    <n v="20"/>
    <s v="#LiveForNow"/>
    <x v="0"/>
    <x v="0"/>
    <x v="2"/>
    <x v="0"/>
    <n v="5.941358024691358E-2"/>
    <n v="4620"/>
  </r>
  <r>
    <s v="P016"/>
    <x v="3"/>
    <s v="2024-08-26"/>
    <x v="1"/>
    <s v="Check out our latest text on facebook!"/>
    <n v="3452"/>
    <n v="377"/>
    <x v="15"/>
    <n v="55232"/>
    <n v="55075"/>
    <n v="87"/>
    <s v="#LiveForNow"/>
    <x v="2"/>
    <x v="0"/>
    <x v="2"/>
    <x v="0"/>
    <n v="7.5843713789107758E-2"/>
    <n v="4189"/>
  </r>
  <r>
    <s v="P017"/>
    <x v="3"/>
    <s v="2025-05-05"/>
    <x v="1"/>
    <s v="Check out our latest text on facebook!"/>
    <n v="4441"/>
    <n v="511"/>
    <x v="16"/>
    <n v="53292"/>
    <n v="53082"/>
    <n v="159"/>
    <s v="#ThirstyForMore"/>
    <x v="3"/>
    <x v="2"/>
    <x v="2"/>
    <x v="0"/>
    <n v="9.4235532537716729E-2"/>
    <n v="5022"/>
  </r>
  <r>
    <s v="P018"/>
    <x v="2"/>
    <s v="2024-08-19"/>
    <x v="0"/>
    <s v="Check out our latest reel on instagram!"/>
    <n v="3000"/>
    <n v="382"/>
    <x v="17"/>
    <n v="36000"/>
    <n v="35819"/>
    <n v="19"/>
    <s v="#LiveForNow"/>
    <x v="0"/>
    <x v="0"/>
    <x v="2"/>
    <x v="0"/>
    <n v="0.10297222222222223"/>
    <n v="3707"/>
  </r>
  <r>
    <s v="P019"/>
    <x v="2"/>
    <s v="2024-06-23"/>
    <x v="5"/>
    <s v="Check out our latest video on instagram!"/>
    <n v="1071"/>
    <n v="519"/>
    <x v="18"/>
    <n v="16065"/>
    <n v="15865"/>
    <n v="103"/>
    <s v="#PepsiCoRefresh"/>
    <x v="3"/>
    <x v="1"/>
    <x v="2"/>
    <x v="0"/>
    <n v="0.10034235916588857"/>
    <n v="1612"/>
  </r>
  <r>
    <s v="P020"/>
    <x v="2"/>
    <s v="2024-09-09"/>
    <x v="3"/>
    <s v="Check out our latest carousel on instagram!"/>
    <n v="4054"/>
    <n v="488"/>
    <x v="19"/>
    <n v="77026"/>
    <n v="76881"/>
    <n v="25"/>
    <s v="#PepsiCoRefresh"/>
    <x v="0"/>
    <x v="1"/>
    <x v="2"/>
    <x v="0"/>
    <n v="6.3809622724794221E-2"/>
    <n v="4915"/>
  </r>
  <r>
    <s v="P021"/>
    <x v="2"/>
    <s v="2025-01-04"/>
    <x v="0"/>
    <s v="Check out our latest reel on instagram!"/>
    <n v="4838"/>
    <n v="640"/>
    <x v="14"/>
    <n v="72570"/>
    <n v="72396"/>
    <n v="83"/>
    <s v="#LiveForNow"/>
    <x v="3"/>
    <x v="0"/>
    <x v="2"/>
    <x v="0"/>
    <n v="7.7249552156538517E-2"/>
    <n v="5606"/>
  </r>
  <r>
    <s v="P022"/>
    <x v="3"/>
    <s v="2025-02-27"/>
    <x v="1"/>
    <s v="Check out our latest text on facebook!"/>
    <n v="1570"/>
    <n v="187"/>
    <x v="20"/>
    <n v="25120"/>
    <n v="24613"/>
    <n v="133"/>
    <s v="#PepsiCoRefresh"/>
    <x v="3"/>
    <x v="1"/>
    <x v="2"/>
    <x v="0"/>
    <n v="8.0294585987261149E-2"/>
    <n v="2017"/>
  </r>
  <r>
    <s v="P023"/>
    <x v="3"/>
    <s v="2024-11-06"/>
    <x v="5"/>
    <s v="Check out our latest video on facebook!"/>
    <n v="1606"/>
    <n v="547"/>
    <x v="21"/>
    <n v="32120"/>
    <n v="31736"/>
    <n v="225"/>
    <s v="#PepsiCoRefresh,#AnytimeIsPepsiTime"/>
    <x v="1"/>
    <x v="1"/>
    <x v="0"/>
    <x v="0"/>
    <n v="7.6867995018679955E-2"/>
    <n v="2469"/>
  </r>
  <r>
    <s v="P024"/>
    <x v="3"/>
    <s v="2025-01-23"/>
    <x v="5"/>
    <s v="Check out our latest video on facebook!"/>
    <n v="3961"/>
    <n v="761"/>
    <x v="13"/>
    <n v="67337"/>
    <n v="66615"/>
    <n v="161"/>
    <s v="#LiveForNow"/>
    <x v="2"/>
    <x v="0"/>
    <x v="2"/>
    <x v="0"/>
    <n v="7.2070332803659209E-2"/>
    <n v="4853"/>
  </r>
  <r>
    <s v="P025"/>
    <x v="0"/>
    <s v="2025-04-10"/>
    <x v="3"/>
    <s v="Check out our latest carousel on twitter!"/>
    <n v="3128"/>
    <n v="211"/>
    <x v="22"/>
    <n v="59432"/>
    <n v="59182"/>
    <n v="238"/>
    <s v="#ThirstyForMore"/>
    <x v="4"/>
    <x v="2"/>
    <x v="2"/>
    <x v="0"/>
    <n v="5.9496567505720827E-2"/>
    <n v="3536"/>
  </r>
  <r>
    <s v="P026"/>
    <x v="1"/>
    <s v="2025-04-05"/>
    <x v="0"/>
    <s v="Check out our latest reel on youtube!"/>
    <n v="3009"/>
    <n v="413"/>
    <x v="23"/>
    <n v="42126"/>
    <n v="41309"/>
    <n v="211"/>
    <s v="#LiveForNow"/>
    <x v="1"/>
    <x v="0"/>
    <x v="2"/>
    <x v="0"/>
    <n v="8.9730807577268201E-2"/>
    <n v="3780"/>
  </r>
  <r>
    <s v="P027"/>
    <x v="1"/>
    <s v="2024-09-17"/>
    <x v="1"/>
    <s v="Check out our latest text on youtube!"/>
    <n v="2076"/>
    <n v="195"/>
    <x v="24"/>
    <n v="33216"/>
    <n v="32244"/>
    <n v="51"/>
    <s v="#LiveForNow"/>
    <x v="3"/>
    <x v="0"/>
    <x v="2"/>
    <x v="0"/>
    <n v="7.1501685934489398E-2"/>
    <n v="2375"/>
  </r>
  <r>
    <s v="P028"/>
    <x v="2"/>
    <s v="2025-03-04"/>
    <x v="5"/>
    <s v="Check out our latest video on instagram!"/>
    <n v="432"/>
    <n v="624"/>
    <x v="25"/>
    <n v="6912"/>
    <n v="6259"/>
    <n v="79"/>
    <s v="#LiveForNow"/>
    <x v="3"/>
    <x v="0"/>
    <x v="2"/>
    <x v="0"/>
    <n v="0.17057291666666666"/>
    <n v="1179"/>
  </r>
  <r>
    <s v="P029"/>
    <x v="2"/>
    <s v="2025-01-31"/>
    <x v="3"/>
    <s v="Check out our latest carousel on instagram!"/>
    <n v="2566"/>
    <n v="118"/>
    <x v="26"/>
    <n v="12830"/>
    <n v="12264"/>
    <n v="221"/>
    <s v="#LiveForNow"/>
    <x v="2"/>
    <x v="0"/>
    <x v="2"/>
    <x v="0"/>
    <n v="0.21208106001558846"/>
    <n v="2721"/>
  </r>
  <r>
    <s v="P030"/>
    <x v="2"/>
    <s v="2025-02-25"/>
    <x v="5"/>
    <s v="Check out our latest video on instagram!"/>
    <n v="3095"/>
    <n v="39"/>
    <x v="27"/>
    <n v="55710"/>
    <n v="54808"/>
    <n v="93"/>
    <s v="#ThirstyForMore"/>
    <x v="4"/>
    <x v="2"/>
    <x v="2"/>
    <x v="0"/>
    <n v="5.7655717106444085E-2"/>
    <n v="3212"/>
  </r>
  <r>
    <s v="P031"/>
    <x v="2"/>
    <s v="2024-12-16"/>
    <x v="1"/>
    <s v="Check out our latest text on instagram!"/>
    <n v="438"/>
    <n v="153"/>
    <x v="28"/>
    <n v="3066"/>
    <n v="2701"/>
    <n v="282"/>
    <s v="#PepsiCoRefresh"/>
    <x v="1"/>
    <x v="1"/>
    <x v="2"/>
    <x v="0"/>
    <n v="0.28245270711024134"/>
    <n v="866"/>
  </r>
  <r>
    <s v="P032"/>
    <x v="0"/>
    <s v="2024-07-31"/>
    <x v="3"/>
    <s v="Check out our latest carousel on twitter!"/>
    <n v="2278"/>
    <n v="10"/>
    <x v="29"/>
    <n v="13668"/>
    <n v="12676"/>
    <n v="275"/>
    <s v="#ThirstyForMore"/>
    <x v="0"/>
    <x v="2"/>
    <x v="2"/>
    <x v="0"/>
    <n v="0.19088381621305239"/>
    <n v="2609"/>
  </r>
  <r>
    <s v="P033"/>
    <x v="3"/>
    <s v="2024-08-21"/>
    <x v="4"/>
    <s v="Check out our latest image on facebook!"/>
    <n v="1407"/>
    <n v="400"/>
    <x v="30"/>
    <n v="16884"/>
    <n v="15954"/>
    <n v="113"/>
    <s v="#PepsiCoRefresh"/>
    <x v="0"/>
    <x v="1"/>
    <x v="2"/>
    <x v="0"/>
    <n v="0.12781331438047855"/>
    <n v="2158"/>
  </r>
  <r>
    <s v="P034"/>
    <x v="3"/>
    <s v="2025-03-26"/>
    <x v="1"/>
    <s v="Check out our latest text on facebook!"/>
    <n v="1652"/>
    <n v="89"/>
    <x v="31"/>
    <n v="29736"/>
    <n v="28771"/>
    <n v="215"/>
    <s v="#PepsiCoRefresh"/>
    <x v="2"/>
    <x v="1"/>
    <x v="2"/>
    <x v="0"/>
    <n v="7.055421038471886E-2"/>
    <n v="2098"/>
  </r>
  <r>
    <s v="P035"/>
    <x v="2"/>
    <s v="2024-11-30"/>
    <x v="5"/>
    <s v="Check out our latest video on instagram!"/>
    <n v="3775"/>
    <n v="16"/>
    <x v="32"/>
    <n v="33975"/>
    <n v="33310"/>
    <n v="271"/>
    <s v="#LiveForNow"/>
    <x v="1"/>
    <x v="0"/>
    <x v="2"/>
    <x v="0"/>
    <n v="0.11861662987490802"/>
    <n v="4030"/>
  </r>
  <r>
    <s v="P036"/>
    <x v="2"/>
    <s v="2025-04-19"/>
    <x v="2"/>
    <s v="Check out our latest story on instagram!"/>
    <n v="4518"/>
    <n v="285"/>
    <x v="33"/>
    <n v="67770"/>
    <n v="67621"/>
    <n v="31"/>
    <s v="#ThirstyForMore"/>
    <x v="1"/>
    <x v="2"/>
    <x v="2"/>
    <x v="0"/>
    <n v="7.6523535487678915E-2"/>
    <n v="5186"/>
  </r>
  <r>
    <s v="P037"/>
    <x v="3"/>
    <s v="2025-01-06"/>
    <x v="3"/>
    <s v="Check out our latest carousel on facebook!"/>
    <n v="3024"/>
    <n v="925"/>
    <x v="34"/>
    <n v="24192"/>
    <n v="23518"/>
    <n v="36"/>
    <s v="#ThirstyForMore"/>
    <x v="1"/>
    <x v="2"/>
    <x v="2"/>
    <x v="0"/>
    <n v="0.17770337301587302"/>
    <n v="4299"/>
  </r>
  <r>
    <s v="P038"/>
    <x v="1"/>
    <s v="2025-02-17"/>
    <x v="0"/>
    <s v="Check out our latest reel on youtube!"/>
    <n v="3138"/>
    <n v="123"/>
    <x v="35"/>
    <n v="28242"/>
    <n v="27550"/>
    <n v="87"/>
    <s v="#PepsiCoRefresh"/>
    <x v="3"/>
    <x v="1"/>
    <x v="2"/>
    <x v="0"/>
    <n v="0.12577012959422137"/>
    <n v="3552"/>
  </r>
  <r>
    <s v="P039"/>
    <x v="3"/>
    <s v="2024-11-25"/>
    <x v="4"/>
    <s v="Check out our latest image on facebook!"/>
    <n v="3564"/>
    <n v="629"/>
    <x v="36"/>
    <n v="60588"/>
    <n v="59627"/>
    <n v="92"/>
    <s v="#PepsiCoRefresh"/>
    <x v="4"/>
    <x v="1"/>
    <x v="2"/>
    <x v="0"/>
    <n v="7.2126493695121141E-2"/>
    <n v="4370"/>
  </r>
  <r>
    <s v="P040"/>
    <x v="0"/>
    <s v="2025-03-07"/>
    <x v="4"/>
    <s v="Check out our latest image on twitter!"/>
    <n v="4750"/>
    <n v="151"/>
    <x v="37"/>
    <n v="38000"/>
    <n v="37792"/>
    <n v="299"/>
    <s v="#ThirstyForMore"/>
    <x v="3"/>
    <x v="2"/>
    <x v="2"/>
    <x v="0"/>
    <n v="0.13989473684210527"/>
    <n v="5316"/>
  </r>
  <r>
    <s v="P041"/>
    <x v="2"/>
    <s v="2025-03-08"/>
    <x v="0"/>
    <s v="Check out our latest reel on instagram!"/>
    <n v="456"/>
    <n v="629"/>
    <x v="38"/>
    <n v="8208"/>
    <n v="7377"/>
    <n v="205"/>
    <s v="#LiveForNow"/>
    <x v="3"/>
    <x v="0"/>
    <x v="2"/>
    <x v="0"/>
    <n v="0.18433235867446393"/>
    <n v="1513"/>
  </r>
  <r>
    <s v="P042"/>
    <x v="1"/>
    <s v="2025-03-05"/>
    <x v="0"/>
    <s v="Check out our latest reel on youtube!"/>
    <n v="1543"/>
    <n v="820"/>
    <x v="39"/>
    <n v="12344"/>
    <n v="11496"/>
    <n v="241"/>
    <s v="#ThirstyForMore"/>
    <x v="4"/>
    <x v="2"/>
    <x v="2"/>
    <x v="0"/>
    <n v="0.21840570317563188"/>
    <n v="2696"/>
  </r>
  <r>
    <s v="P043"/>
    <x v="2"/>
    <s v="2024-12-14"/>
    <x v="3"/>
    <s v="Check out our latest carousel on instagram!"/>
    <n v="2174"/>
    <n v="658"/>
    <x v="40"/>
    <n v="13044"/>
    <n v="12206"/>
    <n v="137"/>
    <s v="#PepsiCoRefresh"/>
    <x v="2"/>
    <x v="1"/>
    <x v="2"/>
    <x v="0"/>
    <n v="0.21826126954921804"/>
    <n v="2847"/>
  </r>
  <r>
    <s v="P044"/>
    <x v="0"/>
    <s v="2025-03-02"/>
    <x v="4"/>
    <s v="Check out our latest image on twitter!"/>
    <n v="2358"/>
    <n v="784"/>
    <x v="0"/>
    <n v="35370"/>
    <n v="34475"/>
    <n v="216"/>
    <s v="#PepsiCoRefresh"/>
    <x v="4"/>
    <x v="1"/>
    <x v="2"/>
    <x v="0"/>
    <n v="9.8558100084817649E-2"/>
    <n v="3486"/>
  </r>
  <r>
    <s v="P045"/>
    <x v="3"/>
    <s v="2024-11-01"/>
    <x v="5"/>
    <s v="Check out our latest video on facebook!"/>
    <n v="3371"/>
    <n v="106"/>
    <x v="41"/>
    <n v="50565"/>
    <n v="49816"/>
    <n v="176"/>
    <s v="#LiveForNow"/>
    <x v="0"/>
    <x v="0"/>
    <x v="2"/>
    <x v="0"/>
    <n v="7.5229902106199939E-2"/>
    <n v="3804"/>
  </r>
  <r>
    <s v="P046"/>
    <x v="0"/>
    <s v="2025-05-02"/>
    <x v="5"/>
    <s v="Check out our latest video on twitter!"/>
    <n v="1108"/>
    <n v="177"/>
    <x v="42"/>
    <n v="8864"/>
    <n v="8710"/>
    <n v="97"/>
    <s v="#PepsiCoRefresh"/>
    <x v="3"/>
    <x v="1"/>
    <x v="2"/>
    <x v="0"/>
    <n v="0.16888537906137185"/>
    <n v="1497"/>
  </r>
  <r>
    <s v="P047"/>
    <x v="0"/>
    <s v="2025-02-24"/>
    <x v="3"/>
    <s v="Check out our latest carousel on twitter!"/>
    <n v="2704"/>
    <n v="752"/>
    <x v="43"/>
    <n v="21632"/>
    <n v="20792"/>
    <n v="127"/>
    <s v="#LiveForNow"/>
    <x v="4"/>
    <x v="0"/>
    <x v="2"/>
    <x v="0"/>
    <n v="0.16683616863905326"/>
    <n v="3609"/>
  </r>
  <r>
    <s v="P048"/>
    <x v="0"/>
    <s v="2025-03-11"/>
    <x v="2"/>
    <s v="Check out our latest story on twitter!"/>
    <n v="1950"/>
    <n v="295"/>
    <x v="44"/>
    <n v="37050"/>
    <n v="36272"/>
    <n v="119"/>
    <s v="#PepsiCoRefresh"/>
    <x v="4"/>
    <x v="1"/>
    <x v="2"/>
    <x v="0"/>
    <n v="7.349527665317139E-2"/>
    <n v="2723"/>
  </r>
  <r>
    <s v="P049"/>
    <x v="0"/>
    <s v="2024-06-10"/>
    <x v="2"/>
    <s v="Check out our latest story on twitter!"/>
    <n v="2164"/>
    <n v="549"/>
    <x v="45"/>
    <n v="28132"/>
    <n v="27361"/>
    <n v="177"/>
    <s v="#PepsiCoRefresh"/>
    <x v="3"/>
    <x v="1"/>
    <x v="2"/>
    <x v="0"/>
    <n v="0.10617801791554102"/>
    <n v="2987"/>
  </r>
  <r>
    <s v="P050"/>
    <x v="1"/>
    <s v="2024-07-03"/>
    <x v="2"/>
    <s v="Check out our latest story on youtube!"/>
    <n v="2754"/>
    <n v="130"/>
    <x v="46"/>
    <n v="22032"/>
    <n v="21288"/>
    <n v="112"/>
    <s v="#PepsiCoRefresh"/>
    <x v="2"/>
    <x v="1"/>
    <x v="2"/>
    <x v="0"/>
    <n v="0.13498547567175018"/>
    <n v="2974"/>
  </r>
  <r>
    <s v="P051"/>
    <x v="3"/>
    <s v="2024-06-13"/>
    <x v="3"/>
    <s v="Check out our latest carousel on facebook!"/>
    <n v="2200"/>
    <n v="504"/>
    <x v="32"/>
    <n v="37400"/>
    <n v="36938"/>
    <n v="225"/>
    <s v="#LiveForNow"/>
    <x v="1"/>
    <x v="0"/>
    <x v="2"/>
    <x v="0"/>
    <n v="7.8689839572192513E-2"/>
    <n v="2943"/>
  </r>
  <r>
    <s v="P052"/>
    <x v="3"/>
    <s v="2025-01-03"/>
    <x v="4"/>
    <s v="Check out our latest image on facebook!"/>
    <n v="947"/>
    <n v="338"/>
    <x v="34"/>
    <n v="10417"/>
    <n v="9730"/>
    <n v="34"/>
    <s v="#PepsiCoRefresh"/>
    <x v="3"/>
    <x v="1"/>
    <x v="2"/>
    <x v="0"/>
    <n v="0.1569549774407219"/>
    <n v="1635"/>
  </r>
  <r>
    <s v="P053"/>
    <x v="1"/>
    <s v="2025-02-24"/>
    <x v="3"/>
    <s v="Check out our latest carousel on youtube!"/>
    <n v="804"/>
    <n v="639"/>
    <x v="47"/>
    <n v="4020"/>
    <n v="3144"/>
    <n v="11"/>
    <s v="#ThirstyForMore,#BetterWithPepsi"/>
    <x v="4"/>
    <x v="2"/>
    <x v="1"/>
    <x v="0"/>
    <n v="0.36965174129353234"/>
    <n v="1486"/>
  </r>
  <r>
    <s v="P054"/>
    <x v="1"/>
    <s v="2025-03-13"/>
    <x v="3"/>
    <s v="Check out our latest carousel on youtube!"/>
    <n v="1686"/>
    <n v="904"/>
    <x v="48"/>
    <n v="18546"/>
    <n v="18171"/>
    <n v="52"/>
    <s v="#LiveForNow"/>
    <x v="1"/>
    <x v="0"/>
    <x v="2"/>
    <x v="0"/>
    <n v="0.16510298716704411"/>
    <n v="3062"/>
  </r>
  <r>
    <s v="P055"/>
    <x v="3"/>
    <s v="2024-06-17"/>
    <x v="4"/>
    <s v="Check out our latest image on facebook!"/>
    <n v="1226"/>
    <n v="119"/>
    <x v="49"/>
    <n v="14712"/>
    <n v="14049"/>
    <n v="123"/>
    <s v="#ThirstyForMore"/>
    <x v="3"/>
    <x v="2"/>
    <x v="2"/>
    <x v="0"/>
    <n v="9.1897770527460579E-2"/>
    <n v="1352"/>
  </r>
  <r>
    <s v="P056"/>
    <x v="3"/>
    <s v="2024-12-18"/>
    <x v="3"/>
    <s v="Check out our latest carousel on facebook!"/>
    <n v="2946"/>
    <n v="498"/>
    <x v="50"/>
    <n v="29460"/>
    <n v="28527"/>
    <n v="60"/>
    <s v="#LiveForNow"/>
    <x v="2"/>
    <x v="0"/>
    <x v="2"/>
    <x v="0"/>
    <n v="0.12936184657162253"/>
    <n v="3811"/>
  </r>
  <r>
    <s v="P057"/>
    <x v="0"/>
    <s v="2024-10-21"/>
    <x v="5"/>
    <s v="Check out our latest video on twitter!"/>
    <n v="2825"/>
    <n v="535"/>
    <x v="51"/>
    <n v="45200"/>
    <n v="44739"/>
    <n v="169"/>
    <s v="#PepsiCoRefresh"/>
    <x v="0"/>
    <x v="1"/>
    <x v="2"/>
    <x v="0"/>
    <n v="8.0862831858407078E-2"/>
    <n v="3655"/>
  </r>
  <r>
    <s v="P058"/>
    <x v="2"/>
    <s v="2025-04-15"/>
    <x v="0"/>
    <s v="Check out our latest reel on instagram!"/>
    <n v="103"/>
    <n v="770"/>
    <x v="52"/>
    <n v="1030"/>
    <n v="410"/>
    <n v="262"/>
    <s v="#PepsiCoRefresh"/>
    <x v="3"/>
    <x v="1"/>
    <x v="2"/>
    <x v="0"/>
    <n v="0.86601941747572819"/>
    <n v="892"/>
  </r>
  <r>
    <s v="P059"/>
    <x v="2"/>
    <s v="2024-06-22"/>
    <x v="1"/>
    <s v="Check out our latest text on instagram!"/>
    <n v="2180"/>
    <n v="263"/>
    <x v="53"/>
    <n v="30520"/>
    <n v="30059"/>
    <n v="174"/>
    <s v="#ThirstyForMore"/>
    <x v="4"/>
    <x v="2"/>
    <x v="2"/>
    <x v="0"/>
    <n v="9.2726081258191345E-2"/>
    <n v="2830"/>
  </r>
  <r>
    <s v="P060"/>
    <x v="2"/>
    <s v="2025-01-28"/>
    <x v="5"/>
    <s v="Check out our latest video on instagram!"/>
    <n v="904"/>
    <n v="973"/>
    <x v="54"/>
    <n v="11752"/>
    <n v="11580"/>
    <n v="84"/>
    <s v="#ThirstyForMore,#PepsiCoRefresh,#AnytimeIsPepsiTime"/>
    <x v="2"/>
    <x v="2"/>
    <x v="3"/>
    <x v="1"/>
    <n v="0.1650782845473111"/>
    <n v="1940"/>
  </r>
  <r>
    <s v="P061"/>
    <x v="0"/>
    <s v="2024-09-05"/>
    <x v="5"/>
    <s v="Check out our latest video on twitter!"/>
    <n v="4886"/>
    <n v="983"/>
    <x v="55"/>
    <n v="43974"/>
    <n v="43239"/>
    <n v="65"/>
    <s v="#PepsiCoRefresh"/>
    <x v="0"/>
    <x v="1"/>
    <x v="2"/>
    <x v="0"/>
    <n v="0.14276618001546368"/>
    <n v="6278"/>
  </r>
  <r>
    <s v="P062"/>
    <x v="0"/>
    <s v="2024-11-22"/>
    <x v="3"/>
    <s v="Check out our latest carousel on twitter!"/>
    <n v="53"/>
    <n v="81"/>
    <x v="56"/>
    <n v="954"/>
    <n v="7"/>
    <n v="148"/>
    <s v="#PepsiCoRefresh"/>
    <x v="2"/>
    <x v="1"/>
    <x v="2"/>
    <x v="0"/>
    <n v="0.53773584905660377"/>
    <n v="513"/>
  </r>
  <r>
    <s v="P063"/>
    <x v="0"/>
    <s v="2024-07-31"/>
    <x v="3"/>
    <s v="Check out our latest carousel on twitter!"/>
    <n v="4507"/>
    <n v="217"/>
    <x v="57"/>
    <n v="90140"/>
    <n v="89591"/>
    <n v="125"/>
    <s v="#LiveForNow"/>
    <x v="2"/>
    <x v="0"/>
    <x v="2"/>
    <x v="0"/>
    <n v="5.2551586421122697E-2"/>
    <n v="4737"/>
  </r>
  <r>
    <s v="P064"/>
    <x v="3"/>
    <s v="2024-08-17"/>
    <x v="4"/>
    <s v="Check out our latest image on facebook!"/>
    <n v="2878"/>
    <n v="248"/>
    <x v="58"/>
    <n v="43170"/>
    <n v="42667"/>
    <n v="75"/>
    <s v="#LiveForNow"/>
    <x v="2"/>
    <x v="0"/>
    <x v="2"/>
    <x v="0"/>
    <n v="8.2047718322909427E-2"/>
    <n v="3542"/>
  </r>
  <r>
    <s v="P065"/>
    <x v="2"/>
    <s v="2025-03-28"/>
    <x v="2"/>
    <s v="Check out our latest story on instagram!"/>
    <n v="1881"/>
    <n v="501"/>
    <x v="59"/>
    <n v="20691"/>
    <n v="19987"/>
    <n v="289"/>
    <s v="#ThirstyForMore"/>
    <x v="4"/>
    <x v="2"/>
    <x v="2"/>
    <x v="0"/>
    <n v="0.11990720603160794"/>
    <n v="2481"/>
  </r>
  <r>
    <s v="P066"/>
    <x v="0"/>
    <s v="2024-07-26"/>
    <x v="3"/>
    <s v="Check out our latest carousel on twitter!"/>
    <n v="432"/>
    <n v="171"/>
    <x v="60"/>
    <n v="3024"/>
    <n v="2285"/>
    <n v="184"/>
    <s v="#ThirstyForMore"/>
    <x v="0"/>
    <x v="2"/>
    <x v="2"/>
    <x v="0"/>
    <n v="0.29199735449735448"/>
    <n v="883"/>
  </r>
  <r>
    <s v="P067"/>
    <x v="3"/>
    <s v="2025-03-29"/>
    <x v="3"/>
    <s v="Check out our latest carousel on facebook!"/>
    <n v="4712"/>
    <n v="568"/>
    <x v="61"/>
    <n v="84816"/>
    <n v="84691"/>
    <n v="100"/>
    <s v="#ThirstyForMore"/>
    <x v="2"/>
    <x v="2"/>
    <x v="2"/>
    <x v="0"/>
    <n v="6.3749764195434822E-2"/>
    <n v="5407"/>
  </r>
  <r>
    <s v="P068"/>
    <x v="2"/>
    <s v="2024-12-08"/>
    <x v="2"/>
    <s v="Check out our latest story on instagram!"/>
    <n v="2610"/>
    <n v="126"/>
    <x v="62"/>
    <n v="15660"/>
    <n v="15145"/>
    <n v="73"/>
    <s v="#ThirstyForMore"/>
    <x v="4"/>
    <x v="2"/>
    <x v="2"/>
    <x v="0"/>
    <n v="0.19310344827586207"/>
    <n v="3024"/>
  </r>
  <r>
    <s v="P069"/>
    <x v="0"/>
    <s v="2025-03-08"/>
    <x v="1"/>
    <s v="Check out our latest text on twitter!"/>
    <n v="1292"/>
    <n v="626"/>
    <x v="63"/>
    <n v="25840"/>
    <n v="24916"/>
    <n v="149"/>
    <s v="#LiveForNow"/>
    <x v="2"/>
    <x v="0"/>
    <x v="2"/>
    <x v="0"/>
    <n v="9.3421052631578946E-2"/>
    <n v="2414"/>
  </r>
  <r>
    <s v="P070"/>
    <x v="3"/>
    <s v="2025-04-02"/>
    <x v="5"/>
    <s v="Check out our latest video on facebook!"/>
    <n v="199"/>
    <n v="772"/>
    <x v="64"/>
    <n v="3582"/>
    <n v="2988"/>
    <n v="43"/>
    <s v="#PepsiCoRefresh"/>
    <x v="4"/>
    <x v="1"/>
    <x v="2"/>
    <x v="0"/>
    <n v="0.38274706867671693"/>
    <n v="1371"/>
  </r>
  <r>
    <s v="P071"/>
    <x v="1"/>
    <s v="2024-09-02"/>
    <x v="3"/>
    <s v="Check out our latest carousel on youtube!"/>
    <n v="2551"/>
    <n v="915"/>
    <x v="65"/>
    <n v="30612"/>
    <n v="30360"/>
    <n v="227"/>
    <s v="#PepsiCoRefresh"/>
    <x v="1"/>
    <x v="1"/>
    <x v="2"/>
    <x v="0"/>
    <n v="0.1199202926956749"/>
    <n v="3671"/>
  </r>
  <r>
    <s v="P072"/>
    <x v="1"/>
    <s v="2025-03-03"/>
    <x v="0"/>
    <s v="Check out our latest reel on youtube!"/>
    <n v="296"/>
    <n v="60"/>
    <x v="66"/>
    <n v="5624"/>
    <n v="5239"/>
    <n v="88"/>
    <s v="#ThirstyForMore"/>
    <x v="1"/>
    <x v="2"/>
    <x v="2"/>
    <x v="0"/>
    <n v="8.837126600284495E-2"/>
    <n v="497"/>
  </r>
  <r>
    <s v="P073"/>
    <x v="3"/>
    <s v="2024-10-18"/>
    <x v="2"/>
    <s v="Check out our latest story on facebook!"/>
    <n v="4126"/>
    <n v="426"/>
    <x v="67"/>
    <n v="78394"/>
    <n v="77798"/>
    <n v="88"/>
    <s v="#LiveForNow"/>
    <x v="3"/>
    <x v="0"/>
    <x v="2"/>
    <x v="0"/>
    <n v="6.4265122330790625E-2"/>
    <n v="5038"/>
  </r>
  <r>
    <s v="P074"/>
    <x v="1"/>
    <s v="2024-10-28"/>
    <x v="0"/>
    <s v="Check out our latest reel on youtube!"/>
    <n v="1855"/>
    <n v="200"/>
    <x v="68"/>
    <n v="16695"/>
    <n v="16330"/>
    <n v="123"/>
    <s v="#PepsiCoRefresh"/>
    <x v="2"/>
    <x v="1"/>
    <x v="2"/>
    <x v="0"/>
    <n v="0.13351302785265048"/>
    <n v="2229"/>
  </r>
  <r>
    <s v="P075"/>
    <x v="2"/>
    <s v="2024-08-01"/>
    <x v="0"/>
    <s v="Check out our latest reel on instagram!"/>
    <n v="1674"/>
    <n v="929"/>
    <x v="26"/>
    <n v="21762"/>
    <n v="20998"/>
    <n v="255"/>
    <s v="#PepsiCoRefresh"/>
    <x v="3"/>
    <x v="1"/>
    <x v="2"/>
    <x v="0"/>
    <n v="0.12131237937689551"/>
    <n v="2640"/>
  </r>
  <r>
    <s v="P076"/>
    <x v="0"/>
    <s v="2024-11-07"/>
    <x v="2"/>
    <s v="Check out our latest story on twitter!"/>
    <n v="1121"/>
    <n v="135"/>
    <x v="69"/>
    <n v="15694"/>
    <n v="14957"/>
    <n v="99"/>
    <s v="#PepsiCoRefresh"/>
    <x v="3"/>
    <x v="1"/>
    <x v="2"/>
    <x v="0"/>
    <n v="8.1177520071364848E-2"/>
    <n v="1274"/>
  </r>
  <r>
    <s v="P077"/>
    <x v="3"/>
    <s v="2025-03-04"/>
    <x v="2"/>
    <s v="Check out our latest story on facebook!"/>
    <n v="1249"/>
    <n v="116"/>
    <x v="70"/>
    <n v="8743"/>
    <n v="8538"/>
    <n v="63"/>
    <s v="#PepsiCoRefresh"/>
    <x v="4"/>
    <x v="1"/>
    <x v="2"/>
    <x v="0"/>
    <n v="0.20416333066453163"/>
    <n v="1785"/>
  </r>
  <r>
    <s v="P078"/>
    <x v="0"/>
    <s v="2024-06-17"/>
    <x v="4"/>
    <s v="Check out our latest image on twitter!"/>
    <n v="954"/>
    <n v="324"/>
    <x v="62"/>
    <n v="19080"/>
    <n v="18859"/>
    <n v="21"/>
    <s v="#LiveForNow"/>
    <x v="3"/>
    <x v="0"/>
    <x v="2"/>
    <x v="0"/>
    <n v="8.2075471698113203E-2"/>
    <n v="1566"/>
  </r>
  <r>
    <s v="P079"/>
    <x v="2"/>
    <s v="2024-10-09"/>
    <x v="3"/>
    <s v="Check out our latest carousel on instagram!"/>
    <n v="3068"/>
    <n v="137"/>
    <x v="71"/>
    <n v="39884"/>
    <n v="39404"/>
    <n v="266"/>
    <s v="#ThirstyForMore"/>
    <x v="1"/>
    <x v="2"/>
    <x v="2"/>
    <x v="0"/>
    <n v="8.860696018453515E-2"/>
    <n v="3534"/>
  </r>
  <r>
    <s v="P080"/>
    <x v="2"/>
    <s v="2024-06-13"/>
    <x v="2"/>
    <s v="Check out our latest story on instagram!"/>
    <n v="2103"/>
    <n v="892"/>
    <x v="72"/>
    <n v="39957"/>
    <n v="39466"/>
    <n v="28"/>
    <s v="#LiveForNow"/>
    <x v="4"/>
    <x v="0"/>
    <x v="2"/>
    <x v="0"/>
    <n v="7.7533348349475686E-2"/>
    <n v="3098"/>
  </r>
  <r>
    <s v="P081"/>
    <x v="2"/>
    <s v="2024-10-19"/>
    <x v="2"/>
    <s v="Check out our latest story on instagram!"/>
    <n v="1816"/>
    <n v="29"/>
    <x v="73"/>
    <n v="19976"/>
    <n v="19262"/>
    <n v="283"/>
    <s v="#PepsiCoRefresh"/>
    <x v="2"/>
    <x v="1"/>
    <x v="2"/>
    <x v="0"/>
    <n v="9.4413295955146179E-2"/>
    <n v="1886"/>
  </r>
  <r>
    <s v="P082"/>
    <x v="2"/>
    <s v="2024-07-24"/>
    <x v="4"/>
    <s v="Check out our latest image on instagram!"/>
    <n v="725"/>
    <n v="88"/>
    <x v="38"/>
    <n v="14500"/>
    <n v="13637"/>
    <n v="200"/>
    <s v="#LiveForNow,#PepsiCoRefresh,#AnytimeIsPepsiTime"/>
    <x v="2"/>
    <x v="0"/>
    <x v="3"/>
    <x v="1"/>
    <n v="8.558620689655172E-2"/>
    <n v="1241"/>
  </r>
  <r>
    <s v="P083"/>
    <x v="1"/>
    <s v="2024-10-15"/>
    <x v="5"/>
    <s v="Check out our latest video on youtube!"/>
    <n v="1094"/>
    <n v="472"/>
    <x v="74"/>
    <n v="9846"/>
    <n v="9609"/>
    <n v="112"/>
    <s v="#ThirstyForMore"/>
    <x v="4"/>
    <x v="2"/>
    <x v="2"/>
    <x v="0"/>
    <n v="0.16118220597196831"/>
    <n v="1587"/>
  </r>
  <r>
    <s v="P084"/>
    <x v="3"/>
    <s v="2024-12-09"/>
    <x v="4"/>
    <s v="Check out our latest image on facebook!"/>
    <n v="1841"/>
    <n v="851"/>
    <x v="75"/>
    <n v="34979"/>
    <n v="34154"/>
    <n v="255"/>
    <s v="#LiveForNow"/>
    <x v="3"/>
    <x v="0"/>
    <x v="2"/>
    <x v="0"/>
    <n v="8.6737756939878216E-2"/>
    <n v="3034"/>
  </r>
  <r>
    <s v="P085"/>
    <x v="2"/>
    <s v="2025-04-19"/>
    <x v="4"/>
    <s v="Check out our latest image on instagram!"/>
    <n v="4177"/>
    <n v="569"/>
    <x v="76"/>
    <n v="25062"/>
    <n v="24847"/>
    <n v="230"/>
    <s v="#LiveForNow"/>
    <x v="0"/>
    <x v="0"/>
    <x v="2"/>
    <x v="0"/>
    <n v="0.19156491900087783"/>
    <n v="4801"/>
  </r>
  <r>
    <s v="P086"/>
    <x v="1"/>
    <s v="2025-01-27"/>
    <x v="1"/>
    <s v="Check out our latest text on youtube!"/>
    <n v="3428"/>
    <n v="305"/>
    <x v="77"/>
    <n v="58276"/>
    <n v="58052"/>
    <n v="242"/>
    <s v="#ThirstyForMore,#BetterWithPepsi"/>
    <x v="3"/>
    <x v="2"/>
    <x v="1"/>
    <x v="0"/>
    <n v="6.5515821264328367E-2"/>
    <n v="3818"/>
  </r>
  <r>
    <s v="P087"/>
    <x v="0"/>
    <s v="2024-06-06"/>
    <x v="5"/>
    <s v="Check out our latest video on twitter!"/>
    <n v="1436"/>
    <n v="765"/>
    <x v="63"/>
    <n v="12924"/>
    <n v="12701"/>
    <n v="197"/>
    <s v="#LiveForNow"/>
    <x v="2"/>
    <x v="0"/>
    <x v="2"/>
    <x v="0"/>
    <n v="0.20868152274837512"/>
    <n v="2697"/>
  </r>
  <r>
    <s v="P088"/>
    <x v="3"/>
    <s v="2024-07-07"/>
    <x v="2"/>
    <s v="Check out our latest story on facebook!"/>
    <n v="302"/>
    <n v="47"/>
    <x v="78"/>
    <n v="5738"/>
    <n v="4890"/>
    <n v="25"/>
    <s v="#PepsiCoRefresh"/>
    <x v="3"/>
    <x v="1"/>
    <x v="2"/>
    <x v="0"/>
    <n v="0.13576158940397351"/>
    <n v="779"/>
  </r>
  <r>
    <s v="P089"/>
    <x v="0"/>
    <s v="2025-01-10"/>
    <x v="4"/>
    <s v="Check out our latest image on twitter!"/>
    <n v="2214"/>
    <n v="249"/>
    <x v="79"/>
    <n v="15498"/>
    <n v="14800"/>
    <n v="180"/>
    <s v="#ThirstyForMore"/>
    <x v="4"/>
    <x v="2"/>
    <x v="2"/>
    <x v="0"/>
    <n v="0.16873144921925409"/>
    <n v="2615"/>
  </r>
  <r>
    <s v="P090"/>
    <x v="2"/>
    <s v="2024-06-03"/>
    <x v="4"/>
    <s v="Check out our latest image on instagram!"/>
    <n v="3861"/>
    <n v="960"/>
    <x v="80"/>
    <n v="69498"/>
    <n v="68817"/>
    <n v="297"/>
    <s v="#PepsiCoRefresh"/>
    <x v="3"/>
    <x v="1"/>
    <x v="2"/>
    <x v="0"/>
    <n v="7.0822181933293038E-2"/>
    <n v="4922"/>
  </r>
  <r>
    <s v="P091"/>
    <x v="3"/>
    <s v="2025-03-24"/>
    <x v="4"/>
    <s v="Check out our latest image on facebook!"/>
    <n v="1263"/>
    <n v="397"/>
    <x v="31"/>
    <n v="25260"/>
    <n v="24615"/>
    <n v="137"/>
    <s v="#ThirstyForMore"/>
    <x v="3"/>
    <x v="2"/>
    <x v="2"/>
    <x v="0"/>
    <n v="7.984956452889945E-2"/>
    <n v="2017"/>
  </r>
  <r>
    <s v="P092"/>
    <x v="0"/>
    <s v="2024-10-21"/>
    <x v="2"/>
    <s v="Check out our latest story on twitter!"/>
    <n v="3801"/>
    <n v="967"/>
    <x v="81"/>
    <n v="38010"/>
    <n v="37625"/>
    <n v="236"/>
    <s v="#LiveForNow"/>
    <x v="2"/>
    <x v="0"/>
    <x v="2"/>
    <x v="0"/>
    <n v="0.13599052880820836"/>
    <n v="5169"/>
  </r>
  <r>
    <s v="P093"/>
    <x v="2"/>
    <s v="2024-12-11"/>
    <x v="5"/>
    <s v="Check out our latest video on instagram!"/>
    <n v="1431"/>
    <n v="951"/>
    <x v="82"/>
    <n v="8586"/>
    <n v="8396"/>
    <n v="150"/>
    <s v="#ThirstyForMore"/>
    <x v="2"/>
    <x v="2"/>
    <x v="2"/>
    <x v="0"/>
    <n v="0.28045655718611695"/>
    <n v="2408"/>
  </r>
  <r>
    <s v="P094"/>
    <x v="2"/>
    <s v="2024-11-07"/>
    <x v="4"/>
    <s v="Check out our latest image on instagram!"/>
    <n v="2647"/>
    <n v="304"/>
    <x v="83"/>
    <n v="18529"/>
    <n v="17841"/>
    <n v="46"/>
    <s v="#LiveForNow"/>
    <x v="2"/>
    <x v="0"/>
    <x v="2"/>
    <x v="0"/>
    <n v="0.16843866371633656"/>
    <n v="3121"/>
  </r>
  <r>
    <s v="P095"/>
    <x v="2"/>
    <s v="2024-11-08"/>
    <x v="1"/>
    <s v="Check out our latest text on instagram!"/>
    <n v="3182"/>
    <n v="559"/>
    <x v="84"/>
    <n v="57276"/>
    <n v="56890"/>
    <n v="163"/>
    <s v="#LiveForNow"/>
    <x v="3"/>
    <x v="0"/>
    <x v="2"/>
    <x v="0"/>
    <n v="6.8108806480899509E-2"/>
    <n v="3901"/>
  </r>
  <r>
    <s v="P096"/>
    <x v="0"/>
    <s v="2024-09-10"/>
    <x v="4"/>
    <s v="Check out our latest image on twitter!"/>
    <n v="1238"/>
    <n v="366"/>
    <x v="85"/>
    <n v="19808"/>
    <n v="19334"/>
    <n v="123"/>
    <s v="#LiveForNow"/>
    <x v="4"/>
    <x v="0"/>
    <x v="2"/>
    <x v="0"/>
    <n v="0.10339256865912763"/>
    <n v="2048"/>
  </r>
  <r>
    <s v="P097"/>
    <x v="2"/>
    <s v="2024-08-13"/>
    <x v="4"/>
    <s v="Check out our latest image on instagram!"/>
    <n v="4739"/>
    <n v="527"/>
    <x v="86"/>
    <n v="61607"/>
    <n v="61333"/>
    <n v="36"/>
    <s v="#PepsiCoRefresh,#AnytimeIsPepsiTime"/>
    <x v="1"/>
    <x v="1"/>
    <x v="0"/>
    <x v="0"/>
    <n v="8.7668609086629767E-2"/>
    <n v="5401"/>
  </r>
  <r>
    <s v="P099"/>
    <x v="1"/>
    <s v="2024-07-02"/>
    <x v="3"/>
    <s v="Check out our latest carousel on youtube!"/>
    <n v="4171"/>
    <n v="548"/>
    <x v="87"/>
    <n v="66736"/>
    <n v="66634"/>
    <n v="173"/>
    <s v="#LiveForNow"/>
    <x v="2"/>
    <x v="0"/>
    <x v="2"/>
    <x v="0"/>
    <n v="7.2000119875329657E-2"/>
    <n v="4805"/>
  </r>
  <r>
    <s v="P100"/>
    <x v="1"/>
    <s v="2025-02-10"/>
    <x v="5"/>
    <s v="Check out our latest video on youtube!"/>
    <n v="1766"/>
    <n v="92"/>
    <x v="4"/>
    <n v="24724"/>
    <n v="24333"/>
    <n v="52"/>
    <s v="#ThirstyForMore"/>
    <x v="4"/>
    <x v="2"/>
    <x v="2"/>
    <x v="0"/>
    <n v="9.2298980747451867E-2"/>
    <n v="2282"/>
  </r>
  <r>
    <s v="P101"/>
    <x v="1"/>
    <s v="2024-10-18"/>
    <x v="5"/>
    <s v="Check out our latest video on youtube!"/>
    <n v="4450"/>
    <n v="983"/>
    <x v="88"/>
    <n v="75650"/>
    <n v="75008"/>
    <n v="12"/>
    <s v="#LiveForNow"/>
    <x v="2"/>
    <x v="0"/>
    <x v="2"/>
    <x v="0"/>
    <n v="7.3707865168539333E-2"/>
    <n v="5576"/>
  </r>
  <r>
    <s v="P102"/>
    <x v="0"/>
    <s v="2024-09-18"/>
    <x v="0"/>
    <s v="Check out our latest reel on twitter!"/>
    <n v="1000"/>
    <n v="978"/>
    <x v="89"/>
    <n v="6000"/>
    <n v="5221"/>
    <n v="223"/>
    <s v="#ThirstyForMore"/>
    <x v="1"/>
    <x v="2"/>
    <x v="2"/>
    <x v="0"/>
    <n v="0.35666666666666669"/>
    <n v="2140"/>
  </r>
  <r>
    <s v="P103"/>
    <x v="3"/>
    <s v="2024-06-11"/>
    <x v="4"/>
    <s v="Check out our latest image on facebook!"/>
    <n v="3689"/>
    <n v="48"/>
    <x v="90"/>
    <n v="40579"/>
    <n v="39588"/>
    <n v="212"/>
    <s v="#ThirstyForMore"/>
    <x v="1"/>
    <x v="2"/>
    <x v="2"/>
    <x v="0"/>
    <n v="9.9632815002833983E-2"/>
    <n v="4043"/>
  </r>
  <r>
    <s v="P104"/>
    <x v="1"/>
    <s v="2025-03-23"/>
    <x v="2"/>
    <s v="Check out our latest story on youtube!"/>
    <n v="3655"/>
    <n v="568"/>
    <x v="91"/>
    <n v="32895"/>
    <n v="32015"/>
    <n v="199"/>
    <s v="#PepsiCoRefresh"/>
    <x v="2"/>
    <x v="1"/>
    <x v="2"/>
    <x v="0"/>
    <n v="0.13707250341997265"/>
    <n v="4509"/>
  </r>
  <r>
    <s v="P105"/>
    <x v="2"/>
    <s v="2024-06-14"/>
    <x v="3"/>
    <s v="Check out our latest carousel on instagram!"/>
    <n v="498"/>
    <n v="38"/>
    <x v="92"/>
    <n v="4482"/>
    <n v="3647"/>
    <n v="32"/>
    <s v="#LiveForNow"/>
    <x v="0"/>
    <x v="0"/>
    <x v="2"/>
    <x v="0"/>
    <n v="0.12896028558679162"/>
    <n v="578"/>
  </r>
  <r>
    <s v="P106"/>
    <x v="2"/>
    <s v="2025-02-04"/>
    <x v="4"/>
    <s v="Check out our latest image on instagram!"/>
    <n v="4619"/>
    <n v="821"/>
    <x v="93"/>
    <n v="69285"/>
    <n v="69141"/>
    <n v="298"/>
    <s v="#PepsiCoRefresh"/>
    <x v="3"/>
    <x v="1"/>
    <x v="2"/>
    <x v="0"/>
    <n v="8.5718409468138843E-2"/>
    <n v="5939"/>
  </r>
  <r>
    <s v="P107"/>
    <x v="1"/>
    <s v="2024-06-21"/>
    <x v="4"/>
    <s v="Check out our latest image on youtube!"/>
    <n v="4832"/>
    <n v="893"/>
    <x v="94"/>
    <n v="91808"/>
    <n v="91296"/>
    <n v="182"/>
    <s v="#PepsiCoRefresh"/>
    <x v="4"/>
    <x v="1"/>
    <x v="2"/>
    <x v="0"/>
    <n v="6.2467323109097243E-2"/>
    <n v="5735"/>
  </r>
  <r>
    <s v="P108"/>
    <x v="0"/>
    <s v="2025-03-25"/>
    <x v="5"/>
    <s v="Check out our latest video on twitter!"/>
    <n v="4050"/>
    <n v="871"/>
    <x v="95"/>
    <n v="52650"/>
    <n v="51755"/>
    <n v="209"/>
    <s v="#PepsiCoRefresh"/>
    <x v="1"/>
    <x v="1"/>
    <x v="2"/>
    <x v="0"/>
    <n v="0.10005698005698006"/>
    <n v="5268"/>
  </r>
  <r>
    <s v="P109"/>
    <x v="0"/>
    <s v="2024-08-08"/>
    <x v="2"/>
    <s v="Check out our latest story on twitter!"/>
    <n v="3649"/>
    <n v="215"/>
    <x v="96"/>
    <n v="25543"/>
    <n v="24963"/>
    <n v="167"/>
    <s v="#LiveForNow"/>
    <x v="2"/>
    <x v="0"/>
    <x v="2"/>
    <x v="0"/>
    <n v="0.16744313510550835"/>
    <n v="4277"/>
  </r>
  <r>
    <s v="P110"/>
    <x v="2"/>
    <s v="2024-07-29"/>
    <x v="0"/>
    <s v="Check out our latest reel on instagram!"/>
    <n v="3523"/>
    <n v="753"/>
    <x v="97"/>
    <n v="38753"/>
    <n v="38579"/>
    <n v="270"/>
    <s v="#ThirstyForMore"/>
    <x v="1"/>
    <x v="2"/>
    <x v="2"/>
    <x v="0"/>
    <n v="0.12277759141227776"/>
    <n v="4758"/>
  </r>
  <r>
    <s v="P111"/>
    <x v="1"/>
    <s v="2024-11-23"/>
    <x v="4"/>
    <s v="Check out our latest image on youtube!"/>
    <n v="2719"/>
    <n v="17"/>
    <x v="98"/>
    <n v="40785"/>
    <n v="40281"/>
    <n v="40"/>
    <s v="#PepsiCoRefresh"/>
    <x v="1"/>
    <x v="1"/>
    <x v="2"/>
    <x v="0"/>
    <n v="7.4071349760941527E-2"/>
    <n v="3021"/>
  </r>
  <r>
    <s v="P112"/>
    <x v="0"/>
    <s v="2024-10-05"/>
    <x v="2"/>
    <s v="Check out our latest story on twitter!"/>
    <n v="1957"/>
    <n v="877"/>
    <x v="99"/>
    <n v="17613"/>
    <n v="16865"/>
    <n v="297"/>
    <s v="#LiveForNow"/>
    <x v="2"/>
    <x v="0"/>
    <x v="2"/>
    <x v="0"/>
    <n v="0.17441662408448305"/>
    <n v="3072"/>
  </r>
  <r>
    <s v="P113"/>
    <x v="0"/>
    <s v="2024-10-02"/>
    <x v="3"/>
    <s v="Check out our latest carousel on twitter!"/>
    <n v="4419"/>
    <n v="236"/>
    <x v="100"/>
    <n v="44190"/>
    <n v="43582"/>
    <n v="10"/>
    <s v="#ThirstyForMore"/>
    <x v="0"/>
    <x v="2"/>
    <x v="2"/>
    <x v="0"/>
    <n v="0.11369088028965829"/>
    <n v="5024"/>
  </r>
  <r>
    <s v="P114"/>
    <x v="0"/>
    <s v="2024-11-14"/>
    <x v="2"/>
    <s v="Check out our latest story on twitter!"/>
    <n v="4000"/>
    <n v="689"/>
    <x v="101"/>
    <n v="40000"/>
    <n v="39569"/>
    <n v="44"/>
    <s v="#LiveForNow"/>
    <x v="0"/>
    <x v="0"/>
    <x v="2"/>
    <x v="0"/>
    <n v="0.12942500000000001"/>
    <n v="5177"/>
  </r>
  <r>
    <s v="P115"/>
    <x v="0"/>
    <s v="2025-05-11"/>
    <x v="4"/>
    <s v="Check out our latest image on twitter!"/>
    <n v="2493"/>
    <n v="97"/>
    <x v="102"/>
    <n v="42381"/>
    <n v="41991"/>
    <n v="242"/>
    <s v="#PepsiCoRefresh,#AnytimeIsPepsiTime"/>
    <x v="3"/>
    <x v="1"/>
    <x v="0"/>
    <x v="0"/>
    <n v="6.2150491965739366E-2"/>
    <n v="2634"/>
  </r>
  <r>
    <s v="P116"/>
    <x v="1"/>
    <s v="2025-03-18"/>
    <x v="0"/>
    <s v="Check out our latest reel on youtube!"/>
    <n v="3704"/>
    <n v="186"/>
    <x v="103"/>
    <n v="25928"/>
    <n v="25081"/>
    <n v="131"/>
    <s v="#PepsiCoRefresh"/>
    <x v="4"/>
    <x v="1"/>
    <x v="2"/>
    <x v="0"/>
    <n v="0.16769515581610614"/>
    <n v="4348"/>
  </r>
  <r>
    <s v="P117"/>
    <x v="0"/>
    <s v="2024-11-04"/>
    <x v="4"/>
    <s v="Check out our latest image on twitter!"/>
    <n v="1606"/>
    <n v="451"/>
    <x v="104"/>
    <n v="20878"/>
    <n v="20190"/>
    <n v="219"/>
    <s v="#ThirstyForMore"/>
    <x v="3"/>
    <x v="2"/>
    <x v="2"/>
    <x v="0"/>
    <n v="0.11792317271769326"/>
    <n v="2462"/>
  </r>
  <r>
    <s v="P118"/>
    <x v="3"/>
    <s v="2024-11-04"/>
    <x v="4"/>
    <s v="Check out our latest image on facebook!"/>
    <n v="4551"/>
    <n v="714"/>
    <x v="105"/>
    <n v="68265"/>
    <n v="67754"/>
    <n v="57"/>
    <s v="#LiveForNow"/>
    <x v="2"/>
    <x v="0"/>
    <x v="2"/>
    <x v="0"/>
    <n v="8.0158206987475278E-2"/>
    <n v="5472"/>
  </r>
  <r>
    <s v="P119"/>
    <x v="2"/>
    <s v="2025-02-07"/>
    <x v="0"/>
    <s v="Check out our latest reel on instagram!"/>
    <n v="1970"/>
    <n v="675"/>
    <x v="44"/>
    <n v="9850"/>
    <n v="8924"/>
    <n v="117"/>
    <s v="#LiveForNow"/>
    <x v="4"/>
    <x v="0"/>
    <x v="2"/>
    <x v="0"/>
    <n v="0.31705583756345179"/>
    <n v="3123"/>
  </r>
  <r>
    <s v="P120"/>
    <x v="3"/>
    <s v="2024-10-21"/>
    <x v="2"/>
    <s v="Check out our latest story on facebook!"/>
    <n v="780"/>
    <n v="928"/>
    <x v="106"/>
    <n v="8580"/>
    <n v="8081"/>
    <n v="91"/>
    <s v="#ThirstyForMore"/>
    <x v="2"/>
    <x v="2"/>
    <x v="2"/>
    <x v="0"/>
    <n v="0.23414918414918415"/>
    <n v="2009"/>
  </r>
  <r>
    <s v="P121"/>
    <x v="2"/>
    <s v="2024-07-29"/>
    <x v="2"/>
    <s v="Check out our latest story on instagram!"/>
    <n v="498"/>
    <n v="701"/>
    <x v="107"/>
    <n v="4980"/>
    <n v="4185"/>
    <n v="185"/>
    <s v="#LiveForNow"/>
    <x v="4"/>
    <x v="0"/>
    <x v="2"/>
    <x v="0"/>
    <n v="0.32349397590361445"/>
    <n v="1611"/>
  </r>
  <r>
    <s v="P122"/>
    <x v="2"/>
    <s v="2024-10-02"/>
    <x v="1"/>
    <s v="Check out our latest text on instagram!"/>
    <n v="3432"/>
    <n v="869"/>
    <x v="25"/>
    <n v="54912"/>
    <n v="53916"/>
    <n v="264"/>
    <s v="#ThirstyForMore"/>
    <x v="1"/>
    <x v="2"/>
    <x v="2"/>
    <x v="0"/>
    <n v="8.0565268065268064E-2"/>
    <n v="4424"/>
  </r>
  <r>
    <s v="P123"/>
    <x v="2"/>
    <s v="2024-06-14"/>
    <x v="2"/>
    <s v="Check out our latest story on instagram!"/>
    <n v="4363"/>
    <n v="649"/>
    <x v="108"/>
    <n v="21815"/>
    <n v="21481"/>
    <n v="157"/>
    <s v="#ThirstyForMore"/>
    <x v="0"/>
    <x v="2"/>
    <x v="2"/>
    <x v="0"/>
    <n v="0.23616777446710979"/>
    <n v="5152"/>
  </r>
  <r>
    <s v="P124"/>
    <x v="1"/>
    <s v="2025-04-06"/>
    <x v="3"/>
    <s v="Check out our latest carousel on youtube!"/>
    <n v="736"/>
    <n v="771"/>
    <x v="109"/>
    <n v="5152"/>
    <n v="4706"/>
    <n v="19"/>
    <s v="#ThirstyForMore"/>
    <x v="0"/>
    <x v="2"/>
    <x v="2"/>
    <x v="0"/>
    <n v="0.33618012422360249"/>
    <n v="1732"/>
  </r>
  <r>
    <s v="P125"/>
    <x v="0"/>
    <s v="2024-09-08"/>
    <x v="3"/>
    <s v="Check out our latest carousel on twitter!"/>
    <n v="3811"/>
    <n v="866"/>
    <x v="110"/>
    <n v="34299"/>
    <n v="34088"/>
    <n v="233"/>
    <s v="#PepsiCoRefresh"/>
    <x v="3"/>
    <x v="1"/>
    <x v="2"/>
    <x v="0"/>
    <n v="0.14265722032712325"/>
    <n v="4893"/>
  </r>
  <r>
    <s v="P126"/>
    <x v="2"/>
    <s v="2025-03-28"/>
    <x v="3"/>
    <s v="Check out our latest carousel on instagram!"/>
    <n v="4158"/>
    <n v="167"/>
    <x v="111"/>
    <n v="45738"/>
    <n v="45183"/>
    <n v="142"/>
    <s v="#LiveForNow"/>
    <x v="4"/>
    <x v="0"/>
    <x v="2"/>
    <x v="0"/>
    <n v="9.9829463465827106E-2"/>
    <n v="4566"/>
  </r>
  <r>
    <s v="P127"/>
    <x v="3"/>
    <s v="2025-01-27"/>
    <x v="0"/>
    <s v="Check out our latest reel on facebook!"/>
    <n v="3452"/>
    <n v="652"/>
    <x v="112"/>
    <n v="65588"/>
    <n v="65049"/>
    <n v="158"/>
    <s v="#LiveForNow"/>
    <x v="2"/>
    <x v="0"/>
    <x v="2"/>
    <x v="0"/>
    <n v="6.9311459413307311E-2"/>
    <n v="4546"/>
  </r>
  <r>
    <s v="P129"/>
    <x v="0"/>
    <s v="2024-07-21"/>
    <x v="1"/>
    <s v="Check out our latest text on twitter!"/>
    <n v="2147"/>
    <n v="430"/>
    <x v="113"/>
    <n v="17176"/>
    <n v="16483"/>
    <n v="170"/>
    <s v="#PepsiCoRefresh"/>
    <x v="4"/>
    <x v="1"/>
    <x v="2"/>
    <x v="0"/>
    <n v="0.17291569632044715"/>
    <n v="2970"/>
  </r>
  <r>
    <s v="P130"/>
    <x v="1"/>
    <s v="2024-09-29"/>
    <x v="0"/>
    <s v="Check out our latest reel on youtube!"/>
    <n v="2936"/>
    <n v="439"/>
    <x v="102"/>
    <n v="38168"/>
    <n v="37571"/>
    <n v="22"/>
    <s v="#ThirstyForMore"/>
    <x v="3"/>
    <x v="2"/>
    <x v="2"/>
    <x v="0"/>
    <n v="8.9577656675749323E-2"/>
    <n v="3419"/>
  </r>
  <r>
    <s v="P131"/>
    <x v="2"/>
    <s v="2024-10-21"/>
    <x v="0"/>
    <s v="Check out our latest reel on instagram!"/>
    <n v="4840"/>
    <n v="658"/>
    <x v="114"/>
    <n v="43560"/>
    <n v="43225"/>
    <n v="57"/>
    <s v="#LiveForNow"/>
    <x v="2"/>
    <x v="0"/>
    <x v="2"/>
    <x v="0"/>
    <n v="0.13106060606060607"/>
    <n v="5709"/>
  </r>
  <r>
    <s v="P132"/>
    <x v="2"/>
    <s v="2025-03-04"/>
    <x v="2"/>
    <s v="Check out our latest story on instagram!"/>
    <n v="1947"/>
    <n v="842"/>
    <x v="80"/>
    <n v="21417"/>
    <n v="20967"/>
    <n v="186"/>
    <s v="#LiveForNow"/>
    <x v="1"/>
    <x v="0"/>
    <x v="2"/>
    <x v="0"/>
    <n v="0.13493953401503478"/>
    <n v="2890"/>
  </r>
  <r>
    <s v="P133"/>
    <x v="3"/>
    <s v="2025-02-06"/>
    <x v="4"/>
    <s v="Check out our latest image on facebook!"/>
    <n v="2072"/>
    <n v="532"/>
    <x v="115"/>
    <n v="37296"/>
    <n v="36467"/>
    <n v="25"/>
    <s v="#PepsiCoRefresh"/>
    <x v="3"/>
    <x v="1"/>
    <x v="2"/>
    <x v="0"/>
    <n v="7.172350922350923E-2"/>
    <n v="2675"/>
  </r>
  <r>
    <s v="P134"/>
    <x v="0"/>
    <s v="2025-04-24"/>
    <x v="0"/>
    <s v="Check out our latest reel on twitter!"/>
    <n v="3731"/>
    <n v="115"/>
    <x v="86"/>
    <n v="55965"/>
    <n v="55436"/>
    <n v="103"/>
    <s v="#PepsiCoRefresh"/>
    <x v="0"/>
    <x v="1"/>
    <x v="2"/>
    <x v="0"/>
    <n v="7.1133744304476013E-2"/>
    <n v="3981"/>
  </r>
  <r>
    <s v="P135"/>
    <x v="3"/>
    <s v="2024-11-28"/>
    <x v="1"/>
    <s v="Check out our latest text on facebook!"/>
    <n v="4213"/>
    <n v="253"/>
    <x v="116"/>
    <n v="75834"/>
    <n v="75437"/>
    <n v="272"/>
    <s v="#LiveForNow"/>
    <x v="3"/>
    <x v="0"/>
    <x v="2"/>
    <x v="0"/>
    <n v="6.461481657304112E-2"/>
    <n v="4900"/>
  </r>
  <r>
    <s v="P136"/>
    <x v="2"/>
    <s v="2024-07-11"/>
    <x v="1"/>
    <s v="Check out our latest text on instagram!"/>
    <n v="3134"/>
    <n v="888"/>
    <x v="85"/>
    <n v="21938"/>
    <n v="21337"/>
    <n v="130"/>
    <s v="#ThirstyForMore"/>
    <x v="3"/>
    <x v="2"/>
    <x v="2"/>
    <x v="0"/>
    <n v="0.20357370772176134"/>
    <n v="4466"/>
  </r>
  <r>
    <s v="P137"/>
    <x v="3"/>
    <s v="2024-07-31"/>
    <x v="5"/>
    <s v="Check out our latest video on facebook!"/>
    <n v="3008"/>
    <n v="94"/>
    <x v="26"/>
    <n v="15040"/>
    <n v="14639"/>
    <n v="277"/>
    <s v="#LiveForNow"/>
    <x v="4"/>
    <x v="0"/>
    <x v="2"/>
    <x v="0"/>
    <n v="0.20871010638297871"/>
    <n v="3139"/>
  </r>
  <r>
    <s v="P138"/>
    <x v="0"/>
    <s v="2025-03-29"/>
    <x v="4"/>
    <s v="Check out our latest image on twitter!"/>
    <n v="305"/>
    <n v="187"/>
    <x v="117"/>
    <n v="4575"/>
    <n v="3704"/>
    <n v="234"/>
    <s v="#LiveForNow"/>
    <x v="2"/>
    <x v="0"/>
    <x v="2"/>
    <x v="0"/>
    <n v="0.16065573770491803"/>
    <n v="735"/>
  </r>
  <r>
    <s v="P139"/>
    <x v="1"/>
    <s v="2024-10-29"/>
    <x v="1"/>
    <s v="Check out our latest text on youtube!"/>
    <n v="2746"/>
    <n v="156"/>
    <x v="118"/>
    <n v="32952"/>
    <n v="32147"/>
    <n v="147"/>
    <s v="#ThirstyForMore"/>
    <x v="0"/>
    <x v="2"/>
    <x v="2"/>
    <x v="0"/>
    <n v="9.422796795338674E-2"/>
    <n v="3105"/>
  </r>
  <r>
    <s v="P140"/>
    <x v="3"/>
    <s v="2024-07-15"/>
    <x v="4"/>
    <s v="Check out our latest image on facebook!"/>
    <n v="2291"/>
    <n v="78"/>
    <x v="119"/>
    <n v="18328"/>
    <n v="18101"/>
    <n v="10"/>
    <s v="#ThirstyForMore,#SmoothLikeNitroPepsi"/>
    <x v="1"/>
    <x v="2"/>
    <x v="4"/>
    <x v="0"/>
    <n v="0.15571802706241816"/>
    <n v="2854"/>
  </r>
  <r>
    <s v="P141"/>
    <x v="0"/>
    <s v="2024-08-31"/>
    <x v="4"/>
    <s v="Check out our latest image on twitter!"/>
    <n v="3170"/>
    <n v="857"/>
    <x v="56"/>
    <n v="19020"/>
    <n v="18559"/>
    <n v="240"/>
    <s v="#LiveForNow"/>
    <x v="4"/>
    <x v="0"/>
    <x v="2"/>
    <x v="0"/>
    <n v="0.2316508937960042"/>
    <n v="4406"/>
  </r>
  <r>
    <s v="P142"/>
    <x v="1"/>
    <s v="2025-03-25"/>
    <x v="2"/>
    <s v="Check out our latest story on youtube!"/>
    <n v="2070"/>
    <n v="275"/>
    <x v="120"/>
    <n v="39330"/>
    <n v="38627"/>
    <n v="114"/>
    <s v="#LiveForNow"/>
    <x v="3"/>
    <x v="0"/>
    <x v="2"/>
    <x v="0"/>
    <n v="6.9438087973557078E-2"/>
    <n v="2731"/>
  </r>
  <r>
    <s v="P143"/>
    <x v="1"/>
    <s v="2024-10-02"/>
    <x v="3"/>
    <s v="Check out our latest carousel on youtube!"/>
    <n v="80"/>
    <n v="362"/>
    <x v="121"/>
    <n v="1040"/>
    <n v="349"/>
    <n v="117"/>
    <s v="#PepsiCoRefresh"/>
    <x v="2"/>
    <x v="1"/>
    <x v="2"/>
    <x v="0"/>
    <n v="0.50192307692307692"/>
    <n v="522"/>
  </r>
  <r>
    <s v="P144"/>
    <x v="1"/>
    <s v="2024-10-28"/>
    <x v="2"/>
    <s v="Check out our latest story on youtube!"/>
    <n v="4929"/>
    <n v="749"/>
    <x v="122"/>
    <n v="93651"/>
    <n v="92810"/>
    <n v="66"/>
    <s v="#ThirstyForMore"/>
    <x v="3"/>
    <x v="2"/>
    <x v="2"/>
    <x v="0"/>
    <n v="6.5455787978772245E-2"/>
    <n v="6130"/>
  </r>
  <r>
    <s v="P145"/>
    <x v="2"/>
    <s v="2024-08-12"/>
    <x v="3"/>
    <s v="Check out our latest carousel on instagram!"/>
    <n v="1878"/>
    <n v="62"/>
    <x v="123"/>
    <n v="37560"/>
    <n v="36874"/>
    <n v="142"/>
    <s v="#PepsiCoRefresh"/>
    <x v="3"/>
    <x v="1"/>
    <x v="2"/>
    <x v="0"/>
    <n v="5.6416400425985093E-2"/>
    <n v="2119"/>
  </r>
  <r>
    <s v="P146"/>
    <x v="1"/>
    <s v="2024-06-05"/>
    <x v="0"/>
    <s v="Check out our latest reel on youtube!"/>
    <n v="3065"/>
    <n v="772"/>
    <x v="124"/>
    <n v="18390"/>
    <n v="17875"/>
    <n v="200"/>
    <s v="#ThirstyForMore,#AnytimeIsPepsiTime"/>
    <x v="4"/>
    <x v="2"/>
    <x v="0"/>
    <x v="0"/>
    <n v="0.21636759108210984"/>
    <n v="3979"/>
  </r>
  <r>
    <s v="P147"/>
    <x v="2"/>
    <s v="2024-10-21"/>
    <x v="0"/>
    <s v="Check out our latest reel on instagram!"/>
    <n v="3256"/>
    <n v="459"/>
    <x v="125"/>
    <n v="26048"/>
    <n v="25529"/>
    <n v="143"/>
    <s v="#PepsiCoRefresh"/>
    <x v="1"/>
    <x v="1"/>
    <x v="2"/>
    <x v="0"/>
    <n v="0.15283323095823095"/>
    <n v="3981"/>
  </r>
  <r>
    <s v="P148"/>
    <x v="2"/>
    <s v="2025-04-15"/>
    <x v="5"/>
    <s v="Check out our latest video on instagram!"/>
    <n v="4133"/>
    <n v="466"/>
    <x v="41"/>
    <n v="24798"/>
    <n v="24620"/>
    <n v="176"/>
    <s v="#ThirstyForMore"/>
    <x v="3"/>
    <x v="2"/>
    <x v="2"/>
    <x v="0"/>
    <n v="0.19864505202032423"/>
    <n v="4926"/>
  </r>
  <r>
    <s v="P149"/>
    <x v="0"/>
    <s v="2024-06-16"/>
    <x v="5"/>
    <s v="Check out our latest video on twitter!"/>
    <n v="1702"/>
    <n v="750"/>
    <x v="123"/>
    <n v="34040"/>
    <n v="33174"/>
    <n v="76"/>
    <s v="#ThirstyForMore"/>
    <x v="0"/>
    <x v="2"/>
    <x v="2"/>
    <x v="0"/>
    <n v="7.7291421856639245E-2"/>
    <n v="2631"/>
  </r>
  <r>
    <s v="P150"/>
    <x v="1"/>
    <s v="2024-08-22"/>
    <x v="3"/>
    <s v="Check out our latest carousel on youtube!"/>
    <n v="4295"/>
    <n v="853"/>
    <x v="17"/>
    <n v="85900"/>
    <n v="85788"/>
    <n v="290"/>
    <s v="#PepsiCoRefresh"/>
    <x v="3"/>
    <x v="1"/>
    <x v="2"/>
    <x v="0"/>
    <n v="6.3713620488940623E-2"/>
    <n v="5473"/>
  </r>
  <r>
    <s v="P151"/>
    <x v="2"/>
    <s v="2024-07-26"/>
    <x v="4"/>
    <s v="Check out our latest image on instagram!"/>
    <n v="3559"/>
    <n v="59"/>
    <x v="126"/>
    <n v="35590"/>
    <n v="35105"/>
    <n v="122"/>
    <s v="#ThirstyForMore"/>
    <x v="0"/>
    <x v="2"/>
    <x v="2"/>
    <x v="0"/>
    <n v="0.10977802753582468"/>
    <n v="3907"/>
  </r>
  <r>
    <s v="P152"/>
    <x v="3"/>
    <s v="2025-04-22"/>
    <x v="4"/>
    <s v="Check out our latest image on facebook!"/>
    <n v="4804"/>
    <n v="550"/>
    <x v="127"/>
    <n v="28824"/>
    <n v="28370"/>
    <n v="47"/>
    <s v="#ThirstyForMore"/>
    <x v="3"/>
    <x v="2"/>
    <x v="2"/>
    <x v="0"/>
    <n v="0.19511518179295032"/>
    <n v="5624"/>
  </r>
  <r>
    <s v="P153"/>
    <x v="0"/>
    <s v="2025-01-01"/>
    <x v="5"/>
    <s v="Check out our latest video on twitter!"/>
    <n v="754"/>
    <n v="197"/>
    <x v="128"/>
    <n v="6786"/>
    <n v="6221"/>
    <n v="212"/>
    <s v="#PepsiCoRefresh"/>
    <x v="2"/>
    <x v="1"/>
    <x v="2"/>
    <x v="0"/>
    <n v="0.17801355732390214"/>
    <n v="1208"/>
  </r>
  <r>
    <s v="P154"/>
    <x v="2"/>
    <s v="2024-10-09"/>
    <x v="3"/>
    <s v="Check out our latest carousel on instagram!"/>
    <n v="985"/>
    <n v="932"/>
    <x v="129"/>
    <n v="6895"/>
    <n v="6757"/>
    <n v="64"/>
    <s v="#LiveForNow"/>
    <x v="3"/>
    <x v="0"/>
    <x v="2"/>
    <x v="0"/>
    <n v="0.31965192168237855"/>
    <n v="2204"/>
  </r>
  <r>
    <s v="P155"/>
    <x v="1"/>
    <s v="2024-12-21"/>
    <x v="4"/>
    <s v="Check out our latest image on youtube!"/>
    <n v="2283"/>
    <n v="210"/>
    <x v="130"/>
    <n v="22830"/>
    <n v="22617"/>
    <n v="143"/>
    <s v="#LiveForNow"/>
    <x v="1"/>
    <x v="0"/>
    <x v="2"/>
    <x v="0"/>
    <n v="0.11489268506351293"/>
    <n v="2623"/>
  </r>
  <r>
    <s v="P156"/>
    <x v="3"/>
    <s v="2024-10-22"/>
    <x v="3"/>
    <s v="Check out our latest carousel on facebook!"/>
    <n v="3352"/>
    <n v="941"/>
    <x v="97"/>
    <n v="43576"/>
    <n v="43338"/>
    <n v="240"/>
    <s v="#LiveForNow"/>
    <x v="1"/>
    <x v="0"/>
    <x v="2"/>
    <x v="0"/>
    <n v="0.1095786671562328"/>
    <n v="4775"/>
  </r>
  <r>
    <s v="P157"/>
    <x v="1"/>
    <s v="2024-07-23"/>
    <x v="2"/>
    <s v="Check out our latest story on youtube!"/>
    <n v="4775"/>
    <n v="173"/>
    <x v="131"/>
    <n v="47750"/>
    <n v="47544"/>
    <n v="187"/>
    <s v="#LiveForNow"/>
    <x v="1"/>
    <x v="0"/>
    <x v="2"/>
    <x v="0"/>
    <n v="0.10793717277486911"/>
    <n v="5154"/>
  </r>
  <r>
    <s v="P158"/>
    <x v="2"/>
    <s v="2024-08-11"/>
    <x v="2"/>
    <s v="Check out our latest story on instagram!"/>
    <n v="1762"/>
    <n v="405"/>
    <x v="132"/>
    <n v="22906"/>
    <n v="21925"/>
    <n v="25"/>
    <s v="#PepsiCoRefresh"/>
    <x v="0"/>
    <x v="1"/>
    <x v="2"/>
    <x v="0"/>
    <n v="0.11307081114118571"/>
    <n v="2590"/>
  </r>
  <r>
    <s v="P159"/>
    <x v="3"/>
    <s v="2024-11-25"/>
    <x v="2"/>
    <s v="Check out our latest story on facebook!"/>
    <n v="2120"/>
    <n v="158"/>
    <x v="101"/>
    <n v="12720"/>
    <n v="12085"/>
    <n v="17"/>
    <s v="#LiveForNow"/>
    <x v="1"/>
    <x v="0"/>
    <x v="2"/>
    <x v="0"/>
    <n v="0.21745283018867925"/>
    <n v="2766"/>
  </r>
  <r>
    <s v="P160"/>
    <x v="0"/>
    <s v="2024-08-24"/>
    <x v="5"/>
    <s v="Check out our latest video on twitter!"/>
    <n v="1082"/>
    <n v="209"/>
    <x v="133"/>
    <n v="19476"/>
    <n v="18654"/>
    <n v="20"/>
    <s v="#PepsiCoRefresh"/>
    <x v="4"/>
    <x v="1"/>
    <x v="2"/>
    <x v="0"/>
    <n v="9.1137810638734856E-2"/>
    <n v="1775"/>
  </r>
  <r>
    <s v="P161"/>
    <x v="0"/>
    <s v="2025-02-19"/>
    <x v="1"/>
    <s v="Check out our latest text on twitter!"/>
    <n v="4671"/>
    <n v="876"/>
    <x v="134"/>
    <n v="51381"/>
    <n v="50565"/>
    <n v="245"/>
    <s v="#PepsiCoRefresh"/>
    <x v="3"/>
    <x v="1"/>
    <x v="2"/>
    <x v="0"/>
    <n v="0.11508145034156594"/>
    <n v="5913"/>
  </r>
  <r>
    <s v="P162"/>
    <x v="3"/>
    <s v="2025-04-01"/>
    <x v="2"/>
    <s v="Check out our latest story on facebook!"/>
    <n v="3430"/>
    <n v="566"/>
    <x v="135"/>
    <n v="48020"/>
    <n v="47305"/>
    <n v="120"/>
    <s v="#LiveForNow"/>
    <x v="4"/>
    <x v="0"/>
    <x v="2"/>
    <x v="0"/>
    <n v="8.6630570595585168E-2"/>
    <n v="4160"/>
  </r>
  <r>
    <s v="P163"/>
    <x v="2"/>
    <s v="2025-04-08"/>
    <x v="4"/>
    <s v="Check out our latest image on instagram!"/>
    <n v="4501"/>
    <n v="375"/>
    <x v="136"/>
    <n v="22505"/>
    <n v="21836"/>
    <n v="132"/>
    <s v="#PepsiCoRefresh"/>
    <x v="1"/>
    <x v="1"/>
    <x v="2"/>
    <x v="0"/>
    <n v="0.23101532992668297"/>
    <n v="5199"/>
  </r>
  <r>
    <s v="P164"/>
    <x v="1"/>
    <s v="2025-02-27"/>
    <x v="1"/>
    <s v="Check out our latest text on youtube!"/>
    <n v="4934"/>
    <n v="971"/>
    <x v="137"/>
    <n v="39472"/>
    <n v="39025"/>
    <n v="169"/>
    <s v="#PepsiCoRefresh,#AnytimeIsPepsiTime"/>
    <x v="3"/>
    <x v="1"/>
    <x v="0"/>
    <x v="0"/>
    <n v="0.15355188488042157"/>
    <n v="6061"/>
  </r>
  <r>
    <s v="P165"/>
    <x v="0"/>
    <s v="2024-12-11"/>
    <x v="1"/>
    <s v="Check out our latest text on twitter!"/>
    <n v="3239"/>
    <n v="43"/>
    <x v="114"/>
    <n v="22673"/>
    <n v="22171"/>
    <n v="230"/>
    <s v="#PepsiCoRefresh"/>
    <x v="1"/>
    <x v="1"/>
    <x v="2"/>
    <x v="0"/>
    <n v="0.15405989502933004"/>
    <n v="3493"/>
  </r>
  <r>
    <s v="P166"/>
    <x v="0"/>
    <s v="2025-02-16"/>
    <x v="0"/>
    <s v="Check out our latest reel on twitter!"/>
    <n v="1076"/>
    <n v="313"/>
    <x v="90"/>
    <n v="11836"/>
    <n v="11596"/>
    <n v="104"/>
    <s v="#LiveForNow"/>
    <x v="0"/>
    <x v="0"/>
    <x v="2"/>
    <x v="0"/>
    <n v="0.14320716458262928"/>
    <n v="1695"/>
  </r>
  <r>
    <s v="P167"/>
    <x v="2"/>
    <s v="2024-11-28"/>
    <x v="1"/>
    <s v="Check out our latest text on instagram!"/>
    <n v="4771"/>
    <n v="818"/>
    <x v="138"/>
    <n v="57252"/>
    <n v="56378"/>
    <n v="150"/>
    <s v="#LiveForNow"/>
    <x v="4"/>
    <x v="0"/>
    <x v="2"/>
    <x v="0"/>
    <n v="9.859917557465242E-2"/>
    <n v="5645"/>
  </r>
  <r>
    <s v="P168"/>
    <x v="3"/>
    <s v="2024-11-12"/>
    <x v="1"/>
    <s v="Check out our latest text on facebook!"/>
    <n v="2418"/>
    <n v="754"/>
    <x v="139"/>
    <n v="43524"/>
    <n v="42743"/>
    <n v="182"/>
    <s v="#ThirstyForMore"/>
    <x v="0"/>
    <x v="2"/>
    <x v="2"/>
    <x v="0"/>
    <n v="7.412002573292896E-2"/>
    <n v="3226"/>
  </r>
  <r>
    <s v="P169"/>
    <x v="1"/>
    <s v="2024-12-03"/>
    <x v="5"/>
    <s v="Check out our latest video on youtube!"/>
    <n v="3809"/>
    <n v="273"/>
    <x v="140"/>
    <n v="34281"/>
    <n v="33534"/>
    <n v="83"/>
    <s v="#ThirstyForMore"/>
    <x v="0"/>
    <x v="2"/>
    <x v="2"/>
    <x v="0"/>
    <n v="0.12490884163239112"/>
    <n v="4282"/>
  </r>
  <r>
    <s v="P170"/>
    <x v="0"/>
    <s v="2025-04-28"/>
    <x v="1"/>
    <s v="Check out our latest text on twitter!"/>
    <n v="3577"/>
    <n v="596"/>
    <x v="1"/>
    <n v="67963"/>
    <n v="67839"/>
    <n v="53"/>
    <s v="#PepsiCoRefresh"/>
    <x v="2"/>
    <x v="1"/>
    <x v="2"/>
    <x v="0"/>
    <n v="6.8655003457763777E-2"/>
    <n v="4666"/>
  </r>
  <r>
    <s v="P171"/>
    <x v="1"/>
    <s v="2024-12-31"/>
    <x v="5"/>
    <s v="Check out our latest video on youtube!"/>
    <n v="1018"/>
    <n v="447"/>
    <x v="141"/>
    <n v="18324"/>
    <n v="18164"/>
    <n v="38"/>
    <s v="#LiveForNow"/>
    <x v="1"/>
    <x v="0"/>
    <x v="2"/>
    <x v="0"/>
    <n v="9.8068107400130972E-2"/>
    <n v="1797"/>
  </r>
  <r>
    <s v="P172"/>
    <x v="3"/>
    <s v="2024-08-14"/>
    <x v="3"/>
    <s v="Check out our latest carousel on facebook!"/>
    <n v="3073"/>
    <n v="553"/>
    <x v="68"/>
    <n v="52241"/>
    <n v="51605"/>
    <n v="246"/>
    <s v="#ThirstyForMore"/>
    <x v="2"/>
    <x v="2"/>
    <x v="2"/>
    <x v="0"/>
    <n v="7.2739802071170159E-2"/>
    <n v="3800"/>
  </r>
  <r>
    <s v="P173"/>
    <x v="0"/>
    <s v="2024-12-05"/>
    <x v="5"/>
    <s v="Check out our latest video on twitter!"/>
    <n v="1330"/>
    <n v="925"/>
    <x v="142"/>
    <n v="15960"/>
    <n v="15379"/>
    <n v="229"/>
    <s v="#LiveForNow"/>
    <x v="2"/>
    <x v="0"/>
    <x v="2"/>
    <x v="0"/>
    <n v="0.14348370927318296"/>
    <n v="2290"/>
  </r>
  <r>
    <s v="P174"/>
    <x v="3"/>
    <s v="2024-06-22"/>
    <x v="1"/>
    <s v="Check out our latest text on facebook!"/>
    <n v="3828"/>
    <n v="148"/>
    <x v="143"/>
    <n v="30624"/>
    <n v="30229"/>
    <n v="235"/>
    <s v="#ThirstyForMore"/>
    <x v="4"/>
    <x v="2"/>
    <x v="2"/>
    <x v="0"/>
    <n v="0.13809430512016718"/>
    <n v="4229"/>
  </r>
  <r>
    <s v="P175"/>
    <x v="2"/>
    <s v="2025-01-17"/>
    <x v="0"/>
    <s v="Check out our latest reel on instagram!"/>
    <n v="142"/>
    <n v="784"/>
    <x v="144"/>
    <n v="1704"/>
    <n v="995"/>
    <n v="154"/>
    <s v="#LiveForNow"/>
    <x v="3"/>
    <x v="0"/>
    <x v="2"/>
    <x v="0"/>
    <n v="0.6508215962441315"/>
    <n v="1109"/>
  </r>
  <r>
    <s v="P176"/>
    <x v="3"/>
    <s v="2024-06-20"/>
    <x v="5"/>
    <s v="Check out our latest video on facebook!"/>
    <n v="3798"/>
    <n v="31"/>
    <x v="6"/>
    <n v="75960"/>
    <n v="75813"/>
    <n v="266"/>
    <s v="#PepsiCoRefresh"/>
    <x v="0"/>
    <x v="1"/>
    <x v="2"/>
    <x v="0"/>
    <n v="5.4081095313322801E-2"/>
    <n v="4108"/>
  </r>
  <r>
    <s v="P177"/>
    <x v="2"/>
    <s v="2024-07-10"/>
    <x v="3"/>
    <s v="Check out our latest carousel on instagram!"/>
    <n v="3099"/>
    <n v="694"/>
    <x v="145"/>
    <n v="43386"/>
    <n v="42921"/>
    <n v="52"/>
    <s v="#PepsiCoRefresh"/>
    <x v="2"/>
    <x v="1"/>
    <x v="2"/>
    <x v="0"/>
    <n v="9.1365878393951966E-2"/>
    <n v="3964"/>
  </r>
  <r>
    <s v="P178"/>
    <x v="2"/>
    <s v="2024-11-07"/>
    <x v="5"/>
    <s v="Check out our latest video on instagram!"/>
    <n v="129"/>
    <n v="643"/>
    <x v="146"/>
    <n v="1290"/>
    <n v="839"/>
    <n v="238"/>
    <s v="#PepsiCoRefresh"/>
    <x v="3"/>
    <x v="1"/>
    <x v="2"/>
    <x v="0"/>
    <n v="0.70387596899224802"/>
    <n v="908"/>
  </r>
  <r>
    <s v="P179"/>
    <x v="3"/>
    <s v="2024-07-15"/>
    <x v="3"/>
    <s v="Check out our latest carousel on facebook!"/>
    <n v="3796"/>
    <n v="667"/>
    <x v="147"/>
    <n v="64532"/>
    <n v="63550"/>
    <n v="292"/>
    <s v="#PepsiCoRefresh"/>
    <x v="4"/>
    <x v="1"/>
    <x v="2"/>
    <x v="0"/>
    <n v="7.5280481001673588E-2"/>
    <n v="4858"/>
  </r>
  <r>
    <s v="P180"/>
    <x v="1"/>
    <s v="2024-12-03"/>
    <x v="1"/>
    <s v="Check out our latest text on youtube!"/>
    <n v="3711"/>
    <n v="352"/>
    <x v="148"/>
    <n v="48243"/>
    <n v="47579"/>
    <n v="11"/>
    <s v="#PepsiCoRefresh"/>
    <x v="0"/>
    <x v="1"/>
    <x v="2"/>
    <x v="0"/>
    <n v="9.023070704558174E-2"/>
    <n v="4353"/>
  </r>
  <r>
    <s v="P181"/>
    <x v="1"/>
    <s v="2025-03-21"/>
    <x v="4"/>
    <s v="Check out our latest image on youtube!"/>
    <n v="606"/>
    <n v="789"/>
    <x v="149"/>
    <n v="7878"/>
    <n v="7389"/>
    <n v="239"/>
    <s v="#ThirstyForMore"/>
    <x v="2"/>
    <x v="2"/>
    <x v="2"/>
    <x v="0"/>
    <n v="0.23673521198273673"/>
    <n v="1865"/>
  </r>
  <r>
    <s v="P182"/>
    <x v="3"/>
    <s v="2024-07-31"/>
    <x v="4"/>
    <s v="Check out our latest image on facebook!"/>
    <n v="4689"/>
    <n v="134"/>
    <x v="150"/>
    <n v="51579"/>
    <n v="50924"/>
    <n v="173"/>
    <s v="#PepsiCoRefresh"/>
    <x v="3"/>
    <x v="1"/>
    <x v="2"/>
    <x v="0"/>
    <n v="0.10132030477519921"/>
    <n v="5226"/>
  </r>
  <r>
    <s v="P183"/>
    <x v="2"/>
    <s v="2024-12-17"/>
    <x v="2"/>
    <s v="Check out our latest story on instagram!"/>
    <n v="360"/>
    <n v="590"/>
    <x v="113"/>
    <n v="4680"/>
    <n v="4322"/>
    <n v="208"/>
    <s v="#LiveForNow"/>
    <x v="1"/>
    <x v="0"/>
    <x v="2"/>
    <x v="0"/>
    <n v="0.28696581196581195"/>
    <n v="1343"/>
  </r>
  <r>
    <s v="P184"/>
    <x v="0"/>
    <s v="2024-07-28"/>
    <x v="4"/>
    <s v="Check out our latest image on twitter!"/>
    <n v="3215"/>
    <n v="960"/>
    <x v="151"/>
    <n v="32150"/>
    <n v="31404"/>
    <n v="251"/>
    <s v="#ThirstyForMore"/>
    <x v="0"/>
    <x v="2"/>
    <x v="2"/>
    <x v="0"/>
    <n v="0.13614307931570763"/>
    <n v="4377"/>
  </r>
  <r>
    <s v="P185"/>
    <x v="2"/>
    <s v="2025-01-11"/>
    <x v="3"/>
    <s v="Check out our latest carousel on instagram!"/>
    <n v="4523"/>
    <n v="61"/>
    <x v="152"/>
    <n v="49753"/>
    <n v="49329"/>
    <n v="71"/>
    <s v="#ThirstyForMore"/>
    <x v="4"/>
    <x v="2"/>
    <x v="2"/>
    <x v="0"/>
    <n v="9.5290736237010829E-2"/>
    <n v="4741"/>
  </r>
  <r>
    <s v="P186"/>
    <x v="3"/>
    <s v="2024-08-24"/>
    <x v="3"/>
    <s v="Check out our latest carousel on facebook!"/>
    <n v="4292"/>
    <n v="51"/>
    <x v="153"/>
    <n v="55796"/>
    <n v="54826"/>
    <n v="264"/>
    <s v="#ThirstyForMore"/>
    <x v="2"/>
    <x v="2"/>
    <x v="2"/>
    <x v="0"/>
    <n v="8.4862714173059003E-2"/>
    <n v="4735"/>
  </r>
  <r>
    <s v="P187"/>
    <x v="0"/>
    <s v="2024-12-22"/>
    <x v="0"/>
    <s v="Check out our latest reel on twitter!"/>
    <n v="1644"/>
    <n v="546"/>
    <x v="154"/>
    <n v="27948"/>
    <n v="27184"/>
    <n v="300"/>
    <s v="#ThirstyForMore"/>
    <x v="2"/>
    <x v="2"/>
    <x v="2"/>
    <x v="0"/>
    <n v="8.3726921425504502E-2"/>
    <n v="2340"/>
  </r>
  <r>
    <s v="P188"/>
    <x v="1"/>
    <s v="2024-06-06"/>
    <x v="0"/>
    <s v="Check out our latest reel on youtube!"/>
    <n v="2728"/>
    <n v="533"/>
    <x v="155"/>
    <n v="40920"/>
    <n v="40816"/>
    <n v="137"/>
    <s v="#LiveForNow"/>
    <x v="1"/>
    <x v="0"/>
    <x v="2"/>
    <x v="0"/>
    <n v="8.4946236559139784E-2"/>
    <n v="3476"/>
  </r>
  <r>
    <s v="P189"/>
    <x v="3"/>
    <s v="2025-03-24"/>
    <x v="0"/>
    <s v="Check out our latest reel on facebook!"/>
    <n v="3360"/>
    <n v="525"/>
    <x v="156"/>
    <n v="60480"/>
    <n v="59610"/>
    <n v="192"/>
    <s v="#PepsiCoRefresh"/>
    <x v="0"/>
    <x v="1"/>
    <x v="2"/>
    <x v="0"/>
    <n v="7.2503306878306875E-2"/>
    <n v="4385"/>
  </r>
  <r>
    <s v="P190"/>
    <x v="1"/>
    <s v="2024-10-04"/>
    <x v="1"/>
    <s v="Check out our latest text on youtube!"/>
    <n v="1963"/>
    <n v="213"/>
    <x v="52"/>
    <n v="39260"/>
    <n v="38771"/>
    <n v="145"/>
    <s v="#LiveForNow"/>
    <x v="4"/>
    <x v="0"/>
    <x v="2"/>
    <x v="0"/>
    <n v="5.5909322465613857E-2"/>
    <n v="2195"/>
  </r>
  <r>
    <s v="P191"/>
    <x v="1"/>
    <s v="2024-12-03"/>
    <x v="2"/>
    <s v="Check out our latest story on youtube!"/>
    <n v="4285"/>
    <n v="886"/>
    <x v="157"/>
    <n v="55705"/>
    <n v="55556"/>
    <n v="51"/>
    <s v="#LiveForNow"/>
    <x v="2"/>
    <x v="0"/>
    <x v="2"/>
    <x v="0"/>
    <n v="9.9578134817341346E-2"/>
    <n v="5547"/>
  </r>
  <r>
    <s v="P192"/>
    <x v="2"/>
    <s v="2024-11-29"/>
    <x v="5"/>
    <s v="Check out our latest video on instagram!"/>
    <n v="1176"/>
    <n v="464"/>
    <x v="158"/>
    <n v="14112"/>
    <n v="13588"/>
    <n v="272"/>
    <s v="#ThirstyForMore"/>
    <x v="4"/>
    <x v="2"/>
    <x v="2"/>
    <x v="0"/>
    <n v="0.1441326530612245"/>
    <n v="2034"/>
  </r>
  <r>
    <s v="P193"/>
    <x v="0"/>
    <s v="2024-09-11"/>
    <x v="4"/>
    <s v="Check out our latest image on twitter!"/>
    <n v="4858"/>
    <n v="317"/>
    <x v="159"/>
    <n v="53438"/>
    <n v="52687"/>
    <n v="223"/>
    <s v="#ThirstyForMore"/>
    <x v="2"/>
    <x v="2"/>
    <x v="2"/>
    <x v="0"/>
    <n v="9.9255211647142488E-2"/>
    <n v="5304"/>
  </r>
  <r>
    <s v="P194"/>
    <x v="1"/>
    <s v="2024-10-02"/>
    <x v="2"/>
    <s v="Check out our latest story on youtube!"/>
    <n v="4350"/>
    <n v="771"/>
    <x v="49"/>
    <n v="60900"/>
    <n v="60592"/>
    <n v="195"/>
    <s v="#ThirstyForMore"/>
    <x v="0"/>
    <x v="2"/>
    <x v="2"/>
    <x v="0"/>
    <n v="8.4203612479474554E-2"/>
    <n v="5128"/>
  </r>
  <r>
    <s v="P195"/>
    <x v="2"/>
    <s v="2024-08-15"/>
    <x v="3"/>
    <s v="Check out our latest carousel on instagram!"/>
    <n v="914"/>
    <n v="464"/>
    <x v="160"/>
    <n v="11882"/>
    <n v="11500"/>
    <n v="282"/>
    <s v="#LiveForNow,#PepsiCoRefresh,#AnytimeIsPepsiTime"/>
    <x v="3"/>
    <x v="0"/>
    <x v="3"/>
    <x v="1"/>
    <n v="0.13667732704931829"/>
    <n v="1624"/>
  </r>
  <r>
    <s v="P196"/>
    <x v="2"/>
    <s v="2024-12-19"/>
    <x v="1"/>
    <s v="Check out our latest text on instagram!"/>
    <n v="1813"/>
    <n v="623"/>
    <x v="161"/>
    <n v="19943"/>
    <n v="18959"/>
    <n v="85"/>
    <s v="#ThirstyForMore"/>
    <x v="2"/>
    <x v="2"/>
    <x v="2"/>
    <x v="0"/>
    <n v="0.12575841147269717"/>
    <n v="2508"/>
  </r>
  <r>
    <s v="P197"/>
    <x v="0"/>
    <s v="2024-10-22"/>
    <x v="0"/>
    <s v="Check out our latest reel on twitter!"/>
    <n v="4782"/>
    <n v="721"/>
    <x v="162"/>
    <n v="86076"/>
    <n v="85339"/>
    <n v="19"/>
    <s v="#ThirstyForMore"/>
    <x v="0"/>
    <x v="2"/>
    <x v="2"/>
    <x v="0"/>
    <n v="6.4884520656164318E-2"/>
    <n v="5585"/>
  </r>
  <r>
    <s v="P198"/>
    <x v="0"/>
    <s v="2024-09-14"/>
    <x v="4"/>
    <s v="Check out our latest image on twitter!"/>
    <n v="1048"/>
    <n v="374"/>
    <x v="163"/>
    <n v="9432"/>
    <n v="8882"/>
    <n v="158"/>
    <s v="#PepsiCoRefresh"/>
    <x v="2"/>
    <x v="1"/>
    <x v="2"/>
    <x v="0"/>
    <n v="0.19847328244274809"/>
    <n v="1872"/>
  </r>
  <r>
    <s v="P199"/>
    <x v="1"/>
    <s v="2024-11-30"/>
    <x v="3"/>
    <s v="Check out our latest carousel on youtube!"/>
    <n v="2509"/>
    <n v="324"/>
    <x v="145"/>
    <n v="35126"/>
    <n v="34685"/>
    <n v="277"/>
    <s v="#PepsiCoRefresh"/>
    <x v="1"/>
    <x v="1"/>
    <x v="2"/>
    <x v="0"/>
    <n v="8.5520696919660646E-2"/>
    <n v="3004"/>
  </r>
  <r>
    <s v="P200"/>
    <x v="3"/>
    <s v="2025-04-07"/>
    <x v="0"/>
    <s v="Check out our latest reel on facebook!"/>
    <n v="3718"/>
    <n v="385"/>
    <x v="164"/>
    <n v="70642"/>
    <n v="69749"/>
    <n v="233"/>
    <s v="#PepsiCoRefresh"/>
    <x v="1"/>
    <x v="1"/>
    <x v="2"/>
    <x v="0"/>
    <n v="6.246991874522239E-2"/>
    <n v="4413"/>
  </r>
  <r>
    <s v="P201"/>
    <x v="0"/>
    <s v="2025-01-15"/>
    <x v="0"/>
    <s v="Check out our latest reel on twitter!"/>
    <n v="802"/>
    <n v="262"/>
    <x v="165"/>
    <n v="14436"/>
    <n v="14280"/>
    <n v="49"/>
    <s v="#ThirstyForMore"/>
    <x v="0"/>
    <x v="2"/>
    <x v="2"/>
    <x v="0"/>
    <n v="9.0606816292601824E-2"/>
    <n v="1308"/>
  </r>
  <r>
    <s v="P202"/>
    <x v="3"/>
    <s v="2024-06-02"/>
    <x v="4"/>
    <s v="Check out our latest image on facebook!"/>
    <n v="1871"/>
    <n v="252"/>
    <x v="166"/>
    <n v="29936"/>
    <n v="29576"/>
    <n v="288"/>
    <s v="#ThirstyForMore"/>
    <x v="2"/>
    <x v="2"/>
    <x v="2"/>
    <x v="0"/>
    <n v="8.2108498129342594E-2"/>
    <n v="2458"/>
  </r>
  <r>
    <s v="P203"/>
    <x v="2"/>
    <s v="2024-11-21"/>
    <x v="3"/>
    <s v="Check out our latest carousel on instagram!"/>
    <n v="3773"/>
    <n v="299"/>
    <x v="167"/>
    <n v="71687"/>
    <n v="71447"/>
    <n v="286"/>
    <s v="#LiveForNow"/>
    <x v="0"/>
    <x v="0"/>
    <x v="2"/>
    <x v="0"/>
    <n v="5.7332570758993957E-2"/>
    <n v="4110"/>
  </r>
  <r>
    <s v="P204"/>
    <x v="2"/>
    <s v="2025-01-01"/>
    <x v="3"/>
    <s v="Check out our latest carousel on instagram!"/>
    <n v="2234"/>
    <n v="653"/>
    <x v="168"/>
    <n v="11170"/>
    <n v="10569"/>
    <n v="198"/>
    <s v="#LiveForNow"/>
    <x v="2"/>
    <x v="0"/>
    <x v="2"/>
    <x v="0"/>
    <n v="0.29713518352730528"/>
    <n v="3319"/>
  </r>
  <r>
    <s v="P205"/>
    <x v="0"/>
    <s v="2025-04-24"/>
    <x v="5"/>
    <s v="Check out our latest video on twitter!"/>
    <n v="3820"/>
    <n v="697"/>
    <x v="169"/>
    <n v="45840"/>
    <n v="45631"/>
    <n v="171"/>
    <s v="#PepsiCoRefresh,#SmoothLikeNitroPepsi"/>
    <x v="3"/>
    <x v="1"/>
    <x v="4"/>
    <x v="0"/>
    <n v="0.1043848167539267"/>
    <n v="4785"/>
  </r>
  <r>
    <s v="P206"/>
    <x v="0"/>
    <s v="2024-06-24"/>
    <x v="1"/>
    <s v="Check out our latest text on twitter!"/>
    <n v="941"/>
    <n v="121"/>
    <x v="103"/>
    <n v="14115"/>
    <n v="13838"/>
    <n v="87"/>
    <s v="#ThirstyForMore"/>
    <x v="0"/>
    <x v="2"/>
    <x v="2"/>
    <x v="0"/>
    <n v="0.10768685795253277"/>
    <n v="1520"/>
  </r>
  <r>
    <s v="P207"/>
    <x v="0"/>
    <s v="2024-12-29"/>
    <x v="3"/>
    <s v="Check out our latest carousel on twitter!"/>
    <n v="4274"/>
    <n v="340"/>
    <x v="170"/>
    <n v="34192"/>
    <n v="33446"/>
    <n v="129"/>
    <s v="#PepsiCoRefresh,#SmoothLikeNitroPepsi"/>
    <x v="2"/>
    <x v="1"/>
    <x v="4"/>
    <x v="0"/>
    <n v="0.14316214319138981"/>
    <n v="4895"/>
  </r>
  <r>
    <s v="P208"/>
    <x v="1"/>
    <s v="2024-06-24"/>
    <x v="5"/>
    <s v="Check out our latest video on youtube!"/>
    <n v="2949"/>
    <n v="476"/>
    <x v="150"/>
    <n v="44235"/>
    <n v="43705"/>
    <n v="135"/>
    <s v="#PepsiCoRefresh"/>
    <x v="1"/>
    <x v="1"/>
    <x v="2"/>
    <x v="0"/>
    <n v="8.6537809426924378E-2"/>
    <n v="3828"/>
  </r>
  <r>
    <s v="P209"/>
    <x v="0"/>
    <s v="2025-03-19"/>
    <x v="5"/>
    <s v="Check out our latest video on twitter!"/>
    <n v="3160"/>
    <n v="204"/>
    <x v="171"/>
    <n v="44240"/>
    <n v="43666"/>
    <n v="49"/>
    <s v="#LiveForNow,#AnytimeIsPepsiTime"/>
    <x v="3"/>
    <x v="0"/>
    <x v="0"/>
    <x v="0"/>
    <n v="8.2753164556962022E-2"/>
    <n v="3661"/>
  </r>
  <r>
    <s v="P210"/>
    <x v="1"/>
    <s v="2025-02-19"/>
    <x v="4"/>
    <s v="Check out our latest image on youtube!"/>
    <n v="257"/>
    <n v="966"/>
    <x v="172"/>
    <n v="3341"/>
    <n v="2753"/>
    <n v="287"/>
    <s v="#LiveForNow"/>
    <x v="0"/>
    <x v="0"/>
    <x v="2"/>
    <x v="0"/>
    <n v="0.48518407662376534"/>
    <n v="1621"/>
  </r>
  <r>
    <s v="P211"/>
    <x v="0"/>
    <s v="2024-07-18"/>
    <x v="3"/>
    <s v="Check out our latest carousel on twitter!"/>
    <n v="2120"/>
    <n v="38"/>
    <x v="42"/>
    <n v="12720"/>
    <n v="12564"/>
    <n v="21"/>
    <s v="#LiveForNow"/>
    <x v="3"/>
    <x v="0"/>
    <x v="2"/>
    <x v="0"/>
    <n v="0.18632075471698112"/>
    <n v="2370"/>
  </r>
  <r>
    <s v="P212"/>
    <x v="1"/>
    <s v="2025-03-03"/>
    <x v="5"/>
    <s v="Check out our latest video on youtube!"/>
    <n v="3874"/>
    <n v="884"/>
    <x v="52"/>
    <n v="38740"/>
    <n v="38552"/>
    <n v="219"/>
    <s v="#PepsiCoRefresh"/>
    <x v="1"/>
    <x v="1"/>
    <x v="2"/>
    <x v="0"/>
    <n v="0.123309241094476"/>
    <n v="4777"/>
  </r>
  <r>
    <s v="P213"/>
    <x v="3"/>
    <s v="2025-05-01"/>
    <x v="3"/>
    <s v="Check out our latest carousel on facebook!"/>
    <n v="2696"/>
    <n v="628"/>
    <x v="173"/>
    <n v="45832"/>
    <n v="45632"/>
    <n v="248"/>
    <s v="#ThirstyForMore"/>
    <x v="3"/>
    <x v="2"/>
    <x v="2"/>
    <x v="0"/>
    <n v="8.21914819340199E-2"/>
    <n v="3767"/>
  </r>
  <r>
    <s v="P214"/>
    <x v="2"/>
    <s v="2024-12-23"/>
    <x v="4"/>
    <s v="Check out our latest image on instagram!"/>
    <n v="521"/>
    <n v="746"/>
    <x v="174"/>
    <n v="4168"/>
    <n v="3399"/>
    <n v="282"/>
    <s v="#LiveForNow"/>
    <x v="1"/>
    <x v="0"/>
    <x v="2"/>
    <x v="0"/>
    <n v="0.37955854126679461"/>
    <n v="1582"/>
  </r>
  <r>
    <s v="P215"/>
    <x v="3"/>
    <s v="2025-05-06"/>
    <x v="4"/>
    <s v="Check out our latest image on facebook!"/>
    <n v="4872"/>
    <n v="925"/>
    <x v="175"/>
    <n v="82824"/>
    <n v="82543"/>
    <n v="89"/>
    <s v="#ThirstyForMore"/>
    <x v="1"/>
    <x v="2"/>
    <x v="2"/>
    <x v="0"/>
    <n v="7.2116777745580993E-2"/>
    <n v="5973"/>
  </r>
  <r>
    <s v="P216"/>
    <x v="1"/>
    <s v="2024-07-29"/>
    <x v="2"/>
    <s v="Check out our latest story on youtube!"/>
    <n v="1509"/>
    <n v="88"/>
    <x v="176"/>
    <n v="30180"/>
    <n v="29689"/>
    <n v="119"/>
    <s v="#ThirstyForMore"/>
    <x v="1"/>
    <x v="2"/>
    <x v="2"/>
    <x v="0"/>
    <n v="5.8316766070245198E-2"/>
    <n v="1760"/>
  </r>
  <r>
    <s v="P217"/>
    <x v="3"/>
    <s v="2024-12-03"/>
    <x v="4"/>
    <s v="Check out our latest image on facebook!"/>
    <n v="4606"/>
    <n v="931"/>
    <x v="177"/>
    <n v="92120"/>
    <n v="91440"/>
    <n v="56"/>
    <s v="#PepsiCoRefresh"/>
    <x v="4"/>
    <x v="1"/>
    <x v="2"/>
    <x v="0"/>
    <n v="6.2603126356925748E-2"/>
    <n v="5767"/>
  </r>
  <r>
    <s v="P218"/>
    <x v="3"/>
    <s v="2024-06-11"/>
    <x v="3"/>
    <s v="Check out our latest carousel on facebook!"/>
    <n v="1869"/>
    <n v="453"/>
    <x v="178"/>
    <n v="14952"/>
    <n v="14309"/>
    <n v="275"/>
    <s v="#PepsiCoRefresh"/>
    <x v="3"/>
    <x v="1"/>
    <x v="2"/>
    <x v="0"/>
    <n v="0.18806848582129482"/>
    <n v="2812"/>
  </r>
  <r>
    <s v="P219"/>
    <x v="0"/>
    <s v="2025-01-28"/>
    <x v="0"/>
    <s v="Check out our latest reel on twitter!"/>
    <n v="1188"/>
    <n v="470"/>
    <x v="68"/>
    <n v="7128"/>
    <n v="6145"/>
    <n v="270"/>
    <s v="#PepsiCoRefresh"/>
    <x v="3"/>
    <x v="1"/>
    <x v="2"/>
    <x v="0"/>
    <n v="0.25701459034792368"/>
    <n v="1832"/>
  </r>
  <r>
    <s v="P220"/>
    <x v="2"/>
    <s v="2024-06-02"/>
    <x v="2"/>
    <s v="Check out our latest story on instagram!"/>
    <n v="84"/>
    <n v="897"/>
    <x v="77"/>
    <n v="588"/>
    <n v="8"/>
    <n v="12"/>
    <s v="#ThirstyForMore"/>
    <x v="4"/>
    <x v="2"/>
    <x v="2"/>
    <x v="0"/>
    <n v="1.8129251700680271"/>
    <n v="1066"/>
  </r>
  <r>
    <s v="P221"/>
    <x v="3"/>
    <s v="2025-03-23"/>
    <x v="5"/>
    <s v="Check out our latest video on facebook!"/>
    <n v="4453"/>
    <n v="111"/>
    <x v="70"/>
    <n v="31171"/>
    <n v="30565"/>
    <n v="23"/>
    <s v="#PepsiCoRefresh"/>
    <x v="4"/>
    <x v="1"/>
    <x v="2"/>
    <x v="0"/>
    <n v="0.15989220750056141"/>
    <n v="4984"/>
  </r>
  <r>
    <s v="P222"/>
    <x v="3"/>
    <s v="2024-10-08"/>
    <x v="0"/>
    <s v="Check out our latest reel on facebook!"/>
    <n v="1814"/>
    <n v="653"/>
    <x v="179"/>
    <n v="25396"/>
    <n v="25286"/>
    <n v="39"/>
    <s v="#LiveForNow,#SmoothLikeNitroPepsi"/>
    <x v="0"/>
    <x v="0"/>
    <x v="4"/>
    <x v="0"/>
    <n v="0.11143487163332809"/>
    <n v="2830"/>
  </r>
  <r>
    <s v="P223"/>
    <x v="0"/>
    <s v="2024-11-12"/>
    <x v="4"/>
    <s v="Check out our latest image on twitter!"/>
    <n v="3338"/>
    <n v="277"/>
    <x v="180"/>
    <n v="60084"/>
    <n v="59842"/>
    <n v="252"/>
    <s v="#PepsiCoRefresh"/>
    <x v="4"/>
    <x v="1"/>
    <x v="2"/>
    <x v="0"/>
    <n v="6.2129685107516146E-2"/>
    <n v="3733"/>
  </r>
  <r>
    <s v="P224"/>
    <x v="3"/>
    <s v="2025-05-13"/>
    <x v="4"/>
    <s v="Check out our latest image on facebook!"/>
    <n v="602"/>
    <n v="594"/>
    <x v="137"/>
    <n v="4214"/>
    <n v="3363"/>
    <n v="164"/>
    <s v="#PepsiCoRefresh"/>
    <x v="2"/>
    <x v="1"/>
    <x v="2"/>
    <x v="0"/>
    <n v="0.32083531086853345"/>
    <n v="1352"/>
  </r>
  <r>
    <s v="P225"/>
    <x v="0"/>
    <s v="2024-06-20"/>
    <x v="3"/>
    <s v="Check out our latest carousel on twitter!"/>
    <n v="4672"/>
    <n v="325"/>
    <x v="181"/>
    <n v="88768"/>
    <n v="87833"/>
    <n v="118"/>
    <s v="#ThirstyForMore"/>
    <x v="4"/>
    <x v="2"/>
    <x v="2"/>
    <x v="0"/>
    <n v="5.6653298485940883E-2"/>
    <n v="5029"/>
  </r>
  <r>
    <s v="P226"/>
    <x v="2"/>
    <s v="2024-08-07"/>
    <x v="3"/>
    <s v="Check out our latest carousel on instagram!"/>
    <n v="1741"/>
    <n v="164"/>
    <x v="182"/>
    <n v="8705"/>
    <n v="8272"/>
    <n v="121"/>
    <s v="#PepsiCoRefresh"/>
    <x v="4"/>
    <x v="1"/>
    <x v="2"/>
    <x v="0"/>
    <n v="0.25537047673750718"/>
    <n v="2223"/>
  </r>
  <r>
    <s v="P227"/>
    <x v="2"/>
    <s v="2024-06-12"/>
    <x v="1"/>
    <s v="Check out our latest text on instagram!"/>
    <n v="246"/>
    <n v="149"/>
    <x v="130"/>
    <n v="4674"/>
    <n v="4390"/>
    <n v="217"/>
    <s v="#LiveForNow"/>
    <x v="2"/>
    <x v="0"/>
    <x v="2"/>
    <x v="0"/>
    <n v="0.11232349165596919"/>
    <n v="525"/>
  </r>
  <r>
    <s v="P228"/>
    <x v="2"/>
    <s v="2024-07-01"/>
    <x v="2"/>
    <s v="Check out our latest story on instagram!"/>
    <n v="4808"/>
    <n v="772"/>
    <x v="183"/>
    <n v="72120"/>
    <n v="71696"/>
    <n v="195"/>
    <s v="#ThirstyForMore"/>
    <x v="0"/>
    <x v="2"/>
    <x v="2"/>
    <x v="0"/>
    <n v="8.1808097615085965E-2"/>
    <n v="5900"/>
  </r>
  <r>
    <s v="P229"/>
    <x v="2"/>
    <s v="2024-07-03"/>
    <x v="3"/>
    <s v="Check out our latest carousel on instagram!"/>
    <n v="4799"/>
    <n v="694"/>
    <x v="126"/>
    <n v="43191"/>
    <n v="42228"/>
    <n v="118"/>
    <s v="#PepsiCoRefresh"/>
    <x v="4"/>
    <x v="1"/>
    <x v="2"/>
    <x v="0"/>
    <n v="0.13387048227640017"/>
    <n v="5782"/>
  </r>
  <r>
    <s v="P230"/>
    <x v="3"/>
    <s v="2024-07-15"/>
    <x v="0"/>
    <s v="Check out our latest reel on facebook!"/>
    <n v="3663"/>
    <n v="17"/>
    <x v="51"/>
    <n v="51282"/>
    <n v="50567"/>
    <n v="84"/>
    <s v="#ThirstyForMore"/>
    <x v="2"/>
    <x v="2"/>
    <x v="2"/>
    <x v="0"/>
    <n v="7.7512577512577507E-2"/>
    <n v="3975"/>
  </r>
  <r>
    <s v="P231"/>
    <x v="2"/>
    <s v="2025-05-01"/>
    <x v="1"/>
    <s v="Check out our latest text on instagram!"/>
    <n v="1430"/>
    <n v="376"/>
    <x v="184"/>
    <n v="21450"/>
    <n v="20509"/>
    <n v="251"/>
    <s v="#LiveForNow"/>
    <x v="0"/>
    <x v="0"/>
    <x v="2"/>
    <x v="0"/>
    <n v="8.5734265734265735E-2"/>
    <n v="1839"/>
  </r>
  <r>
    <s v="P232"/>
    <x v="0"/>
    <s v="2025-04-29"/>
    <x v="2"/>
    <s v="Check out our latest story on twitter!"/>
    <n v="249"/>
    <n v="592"/>
    <x v="177"/>
    <n v="1494"/>
    <n v="1044"/>
    <n v="201"/>
    <s v="#ThirstyForMore"/>
    <x v="3"/>
    <x v="2"/>
    <x v="2"/>
    <x v="0"/>
    <n v="0.7168674698795181"/>
    <n v="1071"/>
  </r>
  <r>
    <s v="P233"/>
    <x v="3"/>
    <s v="2025-03-08"/>
    <x v="4"/>
    <s v="Check out our latest image on facebook!"/>
    <n v="2382"/>
    <n v="265"/>
    <x v="185"/>
    <n v="38112"/>
    <n v="37437"/>
    <n v="249"/>
    <s v="#LiveForNow"/>
    <x v="3"/>
    <x v="0"/>
    <x v="2"/>
    <x v="0"/>
    <n v="7.2969143576826198E-2"/>
    <n v="2781"/>
  </r>
  <r>
    <s v="P234"/>
    <x v="3"/>
    <s v="2024-06-01"/>
    <x v="1"/>
    <s v="Check out our latest text on facebook!"/>
    <n v="1272"/>
    <n v="465"/>
    <x v="59"/>
    <n v="24168"/>
    <n v="23719"/>
    <n v="42"/>
    <s v="#PepsiCoRefresh"/>
    <x v="4"/>
    <x v="1"/>
    <x v="2"/>
    <x v="0"/>
    <n v="7.5968222442899705E-2"/>
    <n v="1836"/>
  </r>
  <r>
    <s v="P235"/>
    <x v="3"/>
    <s v="2024-12-22"/>
    <x v="4"/>
    <s v="Check out our latest image on facebook!"/>
    <n v="3196"/>
    <n v="941"/>
    <x v="157"/>
    <n v="35156"/>
    <n v="34444"/>
    <n v="241"/>
    <s v="#PepsiCoRefresh"/>
    <x v="2"/>
    <x v="1"/>
    <x v="2"/>
    <x v="0"/>
    <n v="0.1283706906360223"/>
    <n v="4513"/>
  </r>
  <r>
    <s v="P236"/>
    <x v="3"/>
    <s v="2024-08-19"/>
    <x v="1"/>
    <s v="Check out our latest text on facebook!"/>
    <n v="1257"/>
    <n v="19"/>
    <x v="30"/>
    <n v="12570"/>
    <n v="11660"/>
    <n v="194"/>
    <s v="#LiveForNow,#AnytimeIsPepsiTime,#ThirstyForMore"/>
    <x v="1"/>
    <x v="0"/>
    <x v="0"/>
    <x v="2"/>
    <n v="0.12943516308671441"/>
    <n v="1627"/>
  </r>
  <r>
    <s v="P237"/>
    <x v="2"/>
    <s v="2024-10-22"/>
    <x v="2"/>
    <s v="Check out our latest story on instagram!"/>
    <n v="3770"/>
    <n v="917"/>
    <x v="159"/>
    <n v="71630"/>
    <n v="71322"/>
    <n v="76"/>
    <s v="#LiveForNow"/>
    <x v="0"/>
    <x v="0"/>
    <x v="2"/>
    <x v="0"/>
    <n v="6.7234398994834563E-2"/>
    <n v="4816"/>
  </r>
  <r>
    <s v="P238"/>
    <x v="0"/>
    <s v="2024-07-16"/>
    <x v="1"/>
    <s v="Check out our latest text on twitter!"/>
    <n v="4725"/>
    <n v="400"/>
    <x v="186"/>
    <n v="75600"/>
    <n v="74927"/>
    <n v="43"/>
    <s v="#LiveForNow"/>
    <x v="3"/>
    <x v="0"/>
    <x v="2"/>
    <x v="0"/>
    <n v="7.2579365079365077E-2"/>
    <n v="5487"/>
  </r>
  <r>
    <s v="P239"/>
    <x v="1"/>
    <s v="2025-02-24"/>
    <x v="1"/>
    <s v="Check out our latest text on youtube!"/>
    <n v="4188"/>
    <n v="942"/>
    <x v="180"/>
    <n v="20940"/>
    <n v="20471"/>
    <n v="102"/>
    <s v="#LiveForNow"/>
    <x v="4"/>
    <x v="0"/>
    <x v="2"/>
    <x v="0"/>
    <n v="0.25062082139446035"/>
    <n v="5248"/>
  </r>
  <r>
    <s v="P240"/>
    <x v="0"/>
    <s v="2024-08-26"/>
    <x v="3"/>
    <s v="Check out our latest carousel on twitter!"/>
    <n v="929"/>
    <n v="192"/>
    <x v="187"/>
    <n v="16722"/>
    <n v="15996"/>
    <n v="145"/>
    <s v="#ThirstyForMore,#PepsiCoRefresh,#AnytimeIsPepsiTime"/>
    <x v="2"/>
    <x v="2"/>
    <x v="3"/>
    <x v="1"/>
    <n v="8.6293505561535699E-2"/>
    <n v="1443"/>
  </r>
  <r>
    <s v="P241"/>
    <x v="3"/>
    <s v="2025-01-18"/>
    <x v="2"/>
    <s v="Check out our latest story on facebook!"/>
    <n v="4321"/>
    <n v="874"/>
    <x v="188"/>
    <n v="30247"/>
    <n v="29254"/>
    <n v="122"/>
    <s v="#PepsiCoRefresh"/>
    <x v="3"/>
    <x v="1"/>
    <x v="2"/>
    <x v="0"/>
    <n v="0.17743908486792079"/>
    <n v="5367"/>
  </r>
  <r>
    <s v="P242"/>
    <x v="3"/>
    <s v="2024-07-07"/>
    <x v="0"/>
    <s v="Check out our latest reel on facebook!"/>
    <n v="4767"/>
    <n v="190"/>
    <x v="189"/>
    <n v="28602"/>
    <n v="28044"/>
    <n v="210"/>
    <s v="#ThirstyForMore"/>
    <x v="2"/>
    <x v="2"/>
    <x v="2"/>
    <x v="0"/>
    <n v="0.18519683938186141"/>
    <n v="5297"/>
  </r>
  <r>
    <s v="P243"/>
    <x v="0"/>
    <s v="2025-03-06"/>
    <x v="4"/>
    <s v="Check out our latest image on twitter!"/>
    <n v="3592"/>
    <n v="911"/>
    <x v="190"/>
    <n v="50288"/>
    <n v="49490"/>
    <n v="32"/>
    <s v="#LiveForNow"/>
    <x v="3"/>
    <x v="0"/>
    <x v="2"/>
    <x v="0"/>
    <n v="9.7001272669424113E-2"/>
    <n v="4878"/>
  </r>
  <r>
    <s v="P244"/>
    <x v="1"/>
    <s v="2024-10-25"/>
    <x v="5"/>
    <s v="Check out our latest video on youtube!"/>
    <n v="4661"/>
    <n v="935"/>
    <x v="191"/>
    <n v="23305"/>
    <n v="22583"/>
    <n v="63"/>
    <s v="#LiveForNow"/>
    <x v="2"/>
    <x v="0"/>
    <x v="2"/>
    <x v="0"/>
    <n v="0.25869984981763572"/>
    <n v="6029"/>
  </r>
  <r>
    <s v="P245"/>
    <x v="3"/>
    <s v="2025-01-12"/>
    <x v="0"/>
    <s v="Check out our latest reel on facebook!"/>
    <n v="4134"/>
    <n v="824"/>
    <x v="59"/>
    <n v="41340"/>
    <n v="41050"/>
    <n v="177"/>
    <s v="#ThirstyForMore"/>
    <x v="0"/>
    <x v="2"/>
    <x v="2"/>
    <x v="0"/>
    <n v="0.12232704402515723"/>
    <n v="5057"/>
  </r>
  <r>
    <s v="P246"/>
    <x v="3"/>
    <s v="2024-10-11"/>
    <x v="4"/>
    <s v="Check out our latest image on facebook!"/>
    <n v="400"/>
    <n v="680"/>
    <x v="116"/>
    <n v="6400"/>
    <n v="5472"/>
    <n v="160"/>
    <s v="#LiveForNow"/>
    <x v="1"/>
    <x v="0"/>
    <x v="2"/>
    <x v="0"/>
    <n v="0.23656250000000001"/>
    <n v="1514"/>
  </r>
  <r>
    <s v="P247"/>
    <x v="3"/>
    <s v="2024-08-27"/>
    <x v="0"/>
    <s v="Check out our latest reel on facebook!"/>
    <n v="3960"/>
    <n v="266"/>
    <x v="192"/>
    <n v="35640"/>
    <n v="34850"/>
    <n v="208"/>
    <s v="#LiveForNow,#ThirstyForMore,#BetterWithPepsi"/>
    <x v="4"/>
    <x v="0"/>
    <x v="5"/>
    <x v="3"/>
    <n v="0.11879910213243547"/>
    <n v="4234"/>
  </r>
  <r>
    <s v="P248"/>
    <x v="3"/>
    <s v="2025-02-02"/>
    <x v="2"/>
    <s v="Check out our latest story on facebook!"/>
    <n v="886"/>
    <n v="126"/>
    <x v="43"/>
    <n v="4430"/>
    <n v="4037"/>
    <n v="212"/>
    <s v="#ThirstyForMore"/>
    <x v="4"/>
    <x v="2"/>
    <x v="2"/>
    <x v="0"/>
    <n v="0.26297968397291194"/>
    <n v="1165"/>
  </r>
  <r>
    <s v="P249"/>
    <x v="0"/>
    <s v="2024-07-18"/>
    <x v="4"/>
    <s v="Check out our latest image on twitter!"/>
    <n v="827"/>
    <n v="77"/>
    <x v="193"/>
    <n v="14886"/>
    <n v="14129"/>
    <n v="254"/>
    <s v="#ThirstyForMore"/>
    <x v="1"/>
    <x v="2"/>
    <x v="2"/>
    <x v="0"/>
    <n v="8.7733440816874911E-2"/>
    <n v="1306"/>
  </r>
  <r>
    <s v="P250"/>
    <x v="3"/>
    <s v="2024-06-22"/>
    <x v="0"/>
    <s v="Check out our latest reel on facebook!"/>
    <n v="3813"/>
    <n v="935"/>
    <x v="45"/>
    <n v="68634"/>
    <n v="68488"/>
    <n v="251"/>
    <s v="#LiveForNow"/>
    <x v="4"/>
    <x v="0"/>
    <x v="2"/>
    <x v="0"/>
    <n v="7.3170731707317069E-2"/>
    <n v="5022"/>
  </r>
  <r>
    <s v="P251"/>
    <x v="2"/>
    <s v="2025-03-27"/>
    <x v="3"/>
    <s v="Check out our latest carousel on instagram!"/>
    <n v="1377"/>
    <n v="796"/>
    <x v="53"/>
    <n v="22032"/>
    <n v="21869"/>
    <n v="189"/>
    <s v="#LiveForNow"/>
    <x v="4"/>
    <x v="0"/>
    <x v="2"/>
    <x v="0"/>
    <n v="0.11619462599854757"/>
    <n v="2560"/>
  </r>
  <r>
    <s v="P252"/>
    <x v="3"/>
    <s v="2025-04-28"/>
    <x v="3"/>
    <s v="Check out our latest carousel on facebook!"/>
    <n v="2089"/>
    <n v="476"/>
    <x v="194"/>
    <n v="16712"/>
    <n v="16309"/>
    <n v="64"/>
    <s v="#LiveForNow"/>
    <x v="2"/>
    <x v="0"/>
    <x v="2"/>
    <x v="0"/>
    <n v="0.15761129727142173"/>
    <n v="2634"/>
  </r>
  <r>
    <s v="P253"/>
    <x v="0"/>
    <s v="2024-08-03"/>
    <x v="0"/>
    <s v="Check out our latest reel on twitter!"/>
    <n v="3791"/>
    <n v="593"/>
    <x v="195"/>
    <n v="53074"/>
    <n v="52613"/>
    <n v="205"/>
    <s v="#ThirstyForMore"/>
    <x v="4"/>
    <x v="2"/>
    <x v="2"/>
    <x v="0"/>
    <n v="8.6897539284772202E-2"/>
    <n v="4612"/>
  </r>
  <r>
    <s v="P254"/>
    <x v="0"/>
    <s v="2025-01-14"/>
    <x v="4"/>
    <s v="Check out our latest image on twitter!"/>
    <n v="2692"/>
    <n v="115"/>
    <x v="196"/>
    <n v="21536"/>
    <n v="21120"/>
    <n v="224"/>
    <s v="#LiveForNow"/>
    <x v="1"/>
    <x v="0"/>
    <x v="2"/>
    <x v="0"/>
    <n v="0.13331166419019316"/>
    <n v="2871"/>
  </r>
  <r>
    <s v="P255"/>
    <x v="3"/>
    <s v="2025-04-03"/>
    <x v="2"/>
    <s v="Check out our latest story on facebook!"/>
    <n v="3767"/>
    <n v="514"/>
    <x v="99"/>
    <n v="37670"/>
    <n v="36807"/>
    <n v="226"/>
    <s v="#LiveForNow"/>
    <x v="3"/>
    <x v="0"/>
    <x v="2"/>
    <x v="0"/>
    <n v="0.11996283514733209"/>
    <n v="4519"/>
  </r>
  <r>
    <s v="P256"/>
    <x v="1"/>
    <s v="2024-09-18"/>
    <x v="3"/>
    <s v="Check out our latest carousel on youtube!"/>
    <n v="2143"/>
    <n v="12"/>
    <x v="197"/>
    <n v="40717"/>
    <n v="40125"/>
    <n v="248"/>
    <s v="#ThirstyForMore"/>
    <x v="1"/>
    <x v="2"/>
    <x v="2"/>
    <x v="0"/>
    <n v="5.7936488444630008E-2"/>
    <n v="2359"/>
  </r>
  <r>
    <s v="P257"/>
    <x v="3"/>
    <s v="2025-04-06"/>
    <x v="4"/>
    <s v="Check out our latest image on facebook!"/>
    <n v="3090"/>
    <n v="697"/>
    <x v="135"/>
    <n v="49440"/>
    <n v="48524"/>
    <n v="25"/>
    <s v="#ThirstyForMore,#ThirstyForMore,#BetterWithPepsi"/>
    <x v="1"/>
    <x v="2"/>
    <x v="5"/>
    <x v="3"/>
    <n v="7.9915048543689318E-2"/>
    <n v="3951"/>
  </r>
  <r>
    <s v="P258"/>
    <x v="2"/>
    <s v="2024-08-05"/>
    <x v="2"/>
    <s v="Check out our latest story on instagram!"/>
    <n v="3601"/>
    <n v="695"/>
    <x v="198"/>
    <n v="21606"/>
    <n v="21454"/>
    <n v="172"/>
    <s v="#ThirstyForMore"/>
    <x v="1"/>
    <x v="2"/>
    <x v="2"/>
    <x v="0"/>
    <n v="0.2023049153013052"/>
    <n v="4371"/>
  </r>
  <r>
    <s v="P259"/>
    <x v="3"/>
    <s v="2025-02-10"/>
    <x v="1"/>
    <s v="Check out our latest text on facebook!"/>
    <n v="562"/>
    <n v="158"/>
    <x v="199"/>
    <n v="3372"/>
    <n v="2940"/>
    <n v="93"/>
    <s v="#PepsiCoRefresh"/>
    <x v="0"/>
    <x v="1"/>
    <x v="2"/>
    <x v="0"/>
    <n v="0.25771055753262156"/>
    <n v="869"/>
  </r>
  <r>
    <s v="P260"/>
    <x v="2"/>
    <s v="2025-02-12"/>
    <x v="2"/>
    <s v="Check out our latest story on instagram!"/>
    <n v="4332"/>
    <n v="771"/>
    <x v="200"/>
    <n v="60648"/>
    <n v="60397"/>
    <n v="10"/>
    <s v="#PepsiCoRefresh,#ThirstyForMore,#BetterWithPepsi"/>
    <x v="2"/>
    <x v="1"/>
    <x v="5"/>
    <x v="3"/>
    <n v="8.7752275425405618E-2"/>
    <n v="5322"/>
  </r>
  <r>
    <s v="P261"/>
    <x v="2"/>
    <s v="2024-10-27"/>
    <x v="4"/>
    <s v="Check out our latest image on instagram!"/>
    <n v="4853"/>
    <n v="837"/>
    <x v="189"/>
    <n v="72795"/>
    <n v="72237"/>
    <n v="170"/>
    <s v="#ThirstyForMore"/>
    <x v="0"/>
    <x v="2"/>
    <x v="2"/>
    <x v="0"/>
    <n v="8.2835359571399134E-2"/>
    <n v="6030"/>
  </r>
  <r>
    <s v="P262"/>
    <x v="1"/>
    <s v="2025-01-18"/>
    <x v="4"/>
    <s v="Check out our latest image on youtube!"/>
    <n v="1206"/>
    <n v="238"/>
    <x v="201"/>
    <n v="9648"/>
    <n v="9417"/>
    <n v="237"/>
    <s v="#PepsiCoRefresh"/>
    <x v="4"/>
    <x v="1"/>
    <x v="2"/>
    <x v="0"/>
    <n v="0.15339966832504145"/>
    <n v="1480"/>
  </r>
  <r>
    <s v="P263"/>
    <x v="2"/>
    <s v="2024-08-20"/>
    <x v="0"/>
    <s v="Check out our latest reel on instagram!"/>
    <n v="2603"/>
    <n v="690"/>
    <x v="65"/>
    <n v="13015"/>
    <n v="12130"/>
    <n v="20"/>
    <s v="#LiveForNow"/>
    <x v="1"/>
    <x v="0"/>
    <x v="2"/>
    <x v="0"/>
    <n v="0.26876680752977333"/>
    <n v="3498"/>
  </r>
  <r>
    <s v="P264"/>
    <x v="0"/>
    <s v="2025-01-30"/>
    <x v="4"/>
    <s v="Check out our latest image on twitter!"/>
    <n v="59"/>
    <n v="163"/>
    <x v="202"/>
    <n v="590"/>
    <n v="475"/>
    <n v="293"/>
    <s v="#PepsiCoRefresh"/>
    <x v="1"/>
    <x v="1"/>
    <x v="2"/>
    <x v="0"/>
    <n v="0.53389830508474578"/>
    <n v="315"/>
  </r>
  <r>
    <s v="P265"/>
    <x v="0"/>
    <s v="2025-02-20"/>
    <x v="3"/>
    <s v="Check out our latest carousel on twitter!"/>
    <n v="1877"/>
    <n v="745"/>
    <x v="109"/>
    <n v="11262"/>
    <n v="10967"/>
    <n v="41"/>
    <s v="#ThirstyForMore"/>
    <x v="3"/>
    <x v="2"/>
    <x v="2"/>
    <x v="0"/>
    <n v="0.25279701651571657"/>
    <n v="2847"/>
  </r>
  <r>
    <s v="P266"/>
    <x v="3"/>
    <s v="2024-11-25"/>
    <x v="2"/>
    <s v="Check out our latest story on facebook!"/>
    <n v="4182"/>
    <n v="640"/>
    <x v="203"/>
    <n v="50184"/>
    <n v="49351"/>
    <n v="10"/>
    <s v="#PepsiCoRefresh"/>
    <x v="2"/>
    <x v="1"/>
    <x v="2"/>
    <x v="0"/>
    <n v="0.10086880280567512"/>
    <n v="5062"/>
  </r>
  <r>
    <s v="P267"/>
    <x v="0"/>
    <s v="2024-10-04"/>
    <x v="0"/>
    <s v="Check out our latest reel on twitter!"/>
    <n v="4187"/>
    <n v="66"/>
    <x v="204"/>
    <n v="66992"/>
    <n v="66614"/>
    <n v="62"/>
    <s v="#LiveForNow"/>
    <x v="4"/>
    <x v="0"/>
    <x v="2"/>
    <x v="0"/>
    <n v="6.3947934081681396E-2"/>
    <n v="4284"/>
  </r>
  <r>
    <s v="P268"/>
    <x v="2"/>
    <s v="2025-04-13"/>
    <x v="0"/>
    <s v="Check out our latest reel on instagram!"/>
    <n v="4579"/>
    <n v="125"/>
    <x v="205"/>
    <n v="59527"/>
    <n v="59400"/>
    <n v="269"/>
    <s v="#ThirstyForMore"/>
    <x v="0"/>
    <x v="2"/>
    <x v="2"/>
    <x v="0"/>
    <n v="8.4062694239588759E-2"/>
    <n v="5004"/>
  </r>
  <r>
    <s v="P269"/>
    <x v="2"/>
    <s v="2024-11-05"/>
    <x v="5"/>
    <s v="Check out our latest video on instagram!"/>
    <n v="4561"/>
    <n v="51"/>
    <x v="206"/>
    <n v="22805"/>
    <n v="21890"/>
    <n v="45"/>
    <s v="#PepsiCoRefresh"/>
    <x v="1"/>
    <x v="1"/>
    <x v="2"/>
    <x v="0"/>
    <n v="0.22157421618066214"/>
    <n v="5053"/>
  </r>
  <r>
    <s v="P270"/>
    <x v="1"/>
    <s v="2025-01-15"/>
    <x v="0"/>
    <s v="Check out our latest reel on youtube!"/>
    <n v="3774"/>
    <n v="239"/>
    <x v="207"/>
    <n v="60384"/>
    <n v="59490"/>
    <n v="241"/>
    <s v="#PepsiCoRefresh"/>
    <x v="2"/>
    <x v="1"/>
    <x v="2"/>
    <x v="0"/>
    <n v="6.7103868574456813E-2"/>
    <n v="4052"/>
  </r>
  <r>
    <s v="P271"/>
    <x v="2"/>
    <s v="2024-10-17"/>
    <x v="5"/>
    <s v="Check out our latest video on instagram!"/>
    <n v="3575"/>
    <n v="749"/>
    <x v="208"/>
    <n v="21450"/>
    <n v="20785"/>
    <n v="195"/>
    <s v="#ThirstyForMore"/>
    <x v="1"/>
    <x v="2"/>
    <x v="2"/>
    <x v="0"/>
    <n v="0.20675990675990677"/>
    <n v="4435"/>
  </r>
  <r>
    <s v="P272"/>
    <x v="2"/>
    <s v="2025-03-27"/>
    <x v="1"/>
    <s v="Check out our latest text on instagram!"/>
    <n v="4941"/>
    <n v="414"/>
    <x v="125"/>
    <n v="39528"/>
    <n v="39154"/>
    <n v="217"/>
    <s v="#PepsiCoRefresh"/>
    <x v="2"/>
    <x v="1"/>
    <x v="2"/>
    <x v="0"/>
    <n v="0.14220299534507186"/>
    <n v="5621"/>
  </r>
  <r>
    <s v="P273"/>
    <x v="1"/>
    <s v="2024-10-12"/>
    <x v="2"/>
    <s v="Check out our latest story on youtube!"/>
    <n v="3641"/>
    <n v="226"/>
    <x v="209"/>
    <n v="40051"/>
    <n v="39319"/>
    <n v="296"/>
    <s v="#ThirstyForMore"/>
    <x v="3"/>
    <x v="2"/>
    <x v="2"/>
    <x v="0"/>
    <n v="9.7700431949264685E-2"/>
    <n v="3913"/>
  </r>
  <r>
    <s v="P274"/>
    <x v="0"/>
    <s v="2025-01-01"/>
    <x v="3"/>
    <s v="Check out our latest carousel on twitter!"/>
    <n v="3535"/>
    <n v="494"/>
    <x v="79"/>
    <n v="53025"/>
    <n v="52791"/>
    <n v="44"/>
    <s v="#PepsiCoRefresh"/>
    <x v="3"/>
    <x v="1"/>
    <x v="2"/>
    <x v="0"/>
    <n v="7.8849599245638849E-2"/>
    <n v="4181"/>
  </r>
  <r>
    <s v="P275"/>
    <x v="3"/>
    <s v="2024-08-05"/>
    <x v="0"/>
    <s v="Check out our latest reel on facebook!"/>
    <n v="1741"/>
    <n v="831"/>
    <x v="210"/>
    <n v="17410"/>
    <n v="16844"/>
    <n v="58"/>
    <s v="#ThirstyForMore"/>
    <x v="2"/>
    <x v="2"/>
    <x v="2"/>
    <x v="0"/>
    <n v="0.16754738655944859"/>
    <n v="2917"/>
  </r>
  <r>
    <s v="P276"/>
    <x v="0"/>
    <s v="2024-06-07"/>
    <x v="3"/>
    <s v="Check out our latest carousel on twitter!"/>
    <n v="1556"/>
    <n v="195"/>
    <x v="13"/>
    <n v="9336"/>
    <n v="8875"/>
    <n v="137"/>
    <s v="#PepsiCoRefresh"/>
    <x v="1"/>
    <x v="1"/>
    <x v="2"/>
    <x v="0"/>
    <n v="0.2015852613538989"/>
    <n v="1882"/>
  </r>
  <r>
    <s v="P277"/>
    <x v="3"/>
    <s v="2025-04-06"/>
    <x v="4"/>
    <s v="Check out our latest image on facebook!"/>
    <n v="4236"/>
    <n v="711"/>
    <x v="211"/>
    <n v="21180"/>
    <n v="20516"/>
    <n v="238"/>
    <s v="#LiveForNow"/>
    <x v="0"/>
    <x v="0"/>
    <x v="2"/>
    <x v="0"/>
    <n v="0.24763928234183191"/>
    <n v="5245"/>
  </r>
  <r>
    <s v="P278"/>
    <x v="0"/>
    <s v="2024-11-26"/>
    <x v="1"/>
    <s v="Check out our latest text on twitter!"/>
    <n v="4516"/>
    <n v="836"/>
    <x v="212"/>
    <n v="49676"/>
    <n v="49257"/>
    <n v="282"/>
    <s v="#ThirstyForMore"/>
    <x v="3"/>
    <x v="2"/>
    <x v="2"/>
    <x v="0"/>
    <n v="0.11114018842096787"/>
    <n v="5521"/>
  </r>
  <r>
    <s v="P279"/>
    <x v="1"/>
    <s v="2024-09-02"/>
    <x v="4"/>
    <s v="Check out our latest image on youtube!"/>
    <n v="4905"/>
    <n v="845"/>
    <x v="159"/>
    <n v="98100"/>
    <n v="97772"/>
    <n v="279"/>
    <s v="#PepsiCoRefresh"/>
    <x v="1"/>
    <x v="1"/>
    <x v="2"/>
    <x v="0"/>
    <n v="5.9928644240570844E-2"/>
    <n v="5879"/>
  </r>
  <r>
    <s v="P280"/>
    <x v="1"/>
    <s v="2024-10-21"/>
    <x v="5"/>
    <s v="Check out our latest video on youtube!"/>
    <n v="4275"/>
    <n v="680"/>
    <x v="213"/>
    <n v="64125"/>
    <n v="63650"/>
    <n v="104"/>
    <s v="#ThirstyForMore,#PepsiCoRefresh,#AnytimeIsPepsiTime"/>
    <x v="3"/>
    <x v="2"/>
    <x v="3"/>
    <x v="1"/>
    <n v="8.3274853801169585E-2"/>
    <n v="5340"/>
  </r>
  <r>
    <s v="P281"/>
    <x v="1"/>
    <s v="2025-03-22"/>
    <x v="4"/>
    <s v="Check out our latest image on youtube!"/>
    <n v="3166"/>
    <n v="90"/>
    <x v="214"/>
    <n v="56988"/>
    <n v="56125"/>
    <n v="135"/>
    <s v="#ThirstyForMore"/>
    <x v="1"/>
    <x v="2"/>
    <x v="2"/>
    <x v="0"/>
    <n v="6.3118551273952411E-2"/>
    <n v="3597"/>
  </r>
  <r>
    <s v="P282"/>
    <x v="2"/>
    <s v="2024-10-03"/>
    <x v="5"/>
    <s v="Check out our latest video on instagram!"/>
    <n v="1488"/>
    <n v="417"/>
    <x v="215"/>
    <n v="19344"/>
    <n v="18395"/>
    <n v="30"/>
    <s v="#LiveForNow"/>
    <x v="2"/>
    <x v="0"/>
    <x v="2"/>
    <x v="0"/>
    <n v="0.1071650124069479"/>
    <n v="2073"/>
  </r>
  <r>
    <s v="P283"/>
    <x v="0"/>
    <s v="2025-05-09"/>
    <x v="0"/>
    <s v="Check out our latest reel on twitter!"/>
    <n v="3367"/>
    <n v="302"/>
    <x v="216"/>
    <n v="63973"/>
    <n v="63789"/>
    <n v="157"/>
    <s v="#LiveForNow"/>
    <x v="1"/>
    <x v="0"/>
    <x v="2"/>
    <x v="0"/>
    <n v="5.8243321401216137E-2"/>
    <n v="3726"/>
  </r>
  <r>
    <s v="P284"/>
    <x v="0"/>
    <s v="2024-09-17"/>
    <x v="1"/>
    <s v="Check out our latest text on twitter!"/>
    <n v="571"/>
    <n v="190"/>
    <x v="217"/>
    <n v="9707"/>
    <n v="9418"/>
    <n v="231"/>
    <s v="#PepsiCoRefresh"/>
    <x v="3"/>
    <x v="1"/>
    <x v="2"/>
    <x v="0"/>
    <n v="0.11465952405480581"/>
    <n v="1113"/>
  </r>
  <r>
    <s v="P285"/>
    <x v="1"/>
    <s v="2024-07-18"/>
    <x v="1"/>
    <s v="Check out our latest text on youtube!"/>
    <n v="4021"/>
    <n v="794"/>
    <x v="218"/>
    <n v="36189"/>
    <n v="35505"/>
    <n v="174"/>
    <s v="#ThirstyForMore"/>
    <x v="4"/>
    <x v="2"/>
    <x v="2"/>
    <x v="0"/>
    <n v="0.13517919809886983"/>
    <n v="4892"/>
  </r>
  <r>
    <s v="P286"/>
    <x v="1"/>
    <s v="2024-09-25"/>
    <x v="5"/>
    <s v="Check out our latest video on youtube!"/>
    <n v="3389"/>
    <n v="344"/>
    <x v="219"/>
    <n v="20334"/>
    <n v="19443"/>
    <n v="228"/>
    <s v="#LiveForNow"/>
    <x v="2"/>
    <x v="0"/>
    <x v="2"/>
    <x v="0"/>
    <n v="0.19484607062063539"/>
    <n v="3962"/>
  </r>
  <r>
    <s v="P287"/>
    <x v="2"/>
    <s v="2024-08-15"/>
    <x v="0"/>
    <s v="Check out our latest reel on instagram!"/>
    <n v="1164"/>
    <n v="616"/>
    <x v="220"/>
    <n v="6984"/>
    <n v="6636"/>
    <n v="82"/>
    <s v="#ThirstyForMore"/>
    <x v="0"/>
    <x v="2"/>
    <x v="2"/>
    <x v="0"/>
    <n v="0.30126002290950743"/>
    <n v="2104"/>
  </r>
  <r>
    <s v="P288"/>
    <x v="1"/>
    <s v="2025-04-17"/>
    <x v="3"/>
    <s v="Check out our latest carousel on youtube!"/>
    <n v="4780"/>
    <n v="691"/>
    <x v="221"/>
    <n v="86040"/>
    <n v="85743"/>
    <n v="262"/>
    <s v="#LiveForNow"/>
    <x v="2"/>
    <x v="0"/>
    <x v="2"/>
    <x v="0"/>
    <n v="6.800325430032543E-2"/>
    <n v="5851"/>
  </r>
  <r>
    <s v="P289"/>
    <x v="3"/>
    <s v="2024-11-28"/>
    <x v="3"/>
    <s v="Check out our latest carousel on facebook!"/>
    <n v="2751"/>
    <n v="33"/>
    <x v="78"/>
    <n v="44016"/>
    <n v="43415"/>
    <n v="129"/>
    <s v="#LiveForNow"/>
    <x v="4"/>
    <x v="0"/>
    <x v="2"/>
    <x v="0"/>
    <n v="7.3018902217375503E-2"/>
    <n v="3214"/>
  </r>
  <r>
    <s v="P290"/>
    <x v="2"/>
    <s v="2024-12-20"/>
    <x v="3"/>
    <s v="Check out our latest carousel on instagram!"/>
    <n v="2107"/>
    <n v="550"/>
    <x v="222"/>
    <n v="35819"/>
    <n v="35340"/>
    <n v="191"/>
    <s v="#ThirstyForMore"/>
    <x v="3"/>
    <x v="2"/>
    <x v="2"/>
    <x v="0"/>
    <n v="8.3921940869371006E-2"/>
    <n v="3006"/>
  </r>
  <r>
    <s v="P291"/>
    <x v="3"/>
    <s v="2024-11-06"/>
    <x v="5"/>
    <s v="Check out our latest video on facebook!"/>
    <n v="4663"/>
    <n v="145"/>
    <x v="109"/>
    <n v="69945"/>
    <n v="69596"/>
    <n v="35"/>
    <s v="#ThirstyForMore"/>
    <x v="3"/>
    <x v="2"/>
    <x v="2"/>
    <x v="0"/>
    <n v="7.1956537279290869E-2"/>
    <n v="5033"/>
  </r>
  <r>
    <s v="P292"/>
    <x v="3"/>
    <s v="2024-11-17"/>
    <x v="1"/>
    <s v="Check out our latest text on facebook!"/>
    <n v="880"/>
    <n v="297"/>
    <x v="210"/>
    <n v="12320"/>
    <n v="11978"/>
    <n v="238"/>
    <s v="#PepsiCoRefresh,#AnytimeIsPepsiTime"/>
    <x v="4"/>
    <x v="1"/>
    <x v="0"/>
    <x v="0"/>
    <n v="0.12353896103896105"/>
    <n v="1522"/>
  </r>
  <r>
    <s v="P293"/>
    <x v="3"/>
    <s v="2025-05-14"/>
    <x v="1"/>
    <s v="Check out our latest text on facebook!"/>
    <n v="2634"/>
    <n v="726"/>
    <x v="111"/>
    <n v="28974"/>
    <n v="28102"/>
    <n v="277"/>
    <s v="#ThirstyForMore"/>
    <x v="0"/>
    <x v="2"/>
    <x v="2"/>
    <x v="0"/>
    <n v="0.12428384068475185"/>
    <n v="3601"/>
  </r>
  <r>
    <s v="P294"/>
    <x v="3"/>
    <s v="2024-06-19"/>
    <x v="3"/>
    <s v="Check out our latest carousel on facebook!"/>
    <n v="4731"/>
    <n v="173"/>
    <x v="223"/>
    <n v="28386"/>
    <n v="28185"/>
    <n v="89"/>
    <s v="#ThirstyForMore"/>
    <x v="2"/>
    <x v="2"/>
    <x v="2"/>
    <x v="0"/>
    <n v="0.18248432325794406"/>
    <n v="5180"/>
  </r>
  <r>
    <s v="P295"/>
    <x v="0"/>
    <s v="2025-05-06"/>
    <x v="4"/>
    <s v="Check out our latest image on twitter!"/>
    <n v="1952"/>
    <n v="344"/>
    <x v="129"/>
    <n v="15616"/>
    <n v="15403"/>
    <n v="235"/>
    <s v="#LiveForNow,#PepsiCoRefresh,#AnytimeIsPepsiTime"/>
    <x v="1"/>
    <x v="0"/>
    <x v="3"/>
    <x v="1"/>
    <n v="0.16540727459016394"/>
    <n v="2583"/>
  </r>
  <r>
    <s v="P296"/>
    <x v="0"/>
    <s v="2025-02-11"/>
    <x v="5"/>
    <s v="Check out our latest video on twitter!"/>
    <n v="3440"/>
    <n v="13"/>
    <x v="224"/>
    <n v="58480"/>
    <n v="58146"/>
    <n v="210"/>
    <s v="#PepsiCoRefresh,#SmoothLikeNitroPepsi"/>
    <x v="3"/>
    <x v="1"/>
    <x v="4"/>
    <x v="0"/>
    <n v="5.9387824897400819E-2"/>
    <n v="3473"/>
  </r>
  <r>
    <s v="P297"/>
    <x v="0"/>
    <s v="2024-12-24"/>
    <x v="1"/>
    <s v="Check out our latest text on twitter!"/>
    <n v="2166"/>
    <n v="354"/>
    <x v="225"/>
    <n v="10830"/>
    <n v="10245"/>
    <n v="24"/>
    <s v="#ThirstyForMore"/>
    <x v="3"/>
    <x v="2"/>
    <x v="2"/>
    <x v="0"/>
    <n v="0.24349030470914126"/>
    <n v="2637"/>
  </r>
  <r>
    <s v="P298"/>
    <x v="3"/>
    <s v="2024-10-24"/>
    <x v="4"/>
    <s v="Check out our latest image on facebook!"/>
    <n v="4303"/>
    <n v="451"/>
    <x v="91"/>
    <n v="86060"/>
    <n v="85823"/>
    <n v="14"/>
    <s v="#PepsiCoRefresh"/>
    <x v="2"/>
    <x v="1"/>
    <x v="2"/>
    <x v="0"/>
    <n v="5.8563792702765516E-2"/>
    <n v="5040"/>
  </r>
  <r>
    <s v="P299"/>
    <x v="3"/>
    <s v="2024-08-26"/>
    <x v="4"/>
    <s v="Check out our latest image on facebook!"/>
    <n v="2581"/>
    <n v="517"/>
    <x v="225"/>
    <n v="23229"/>
    <n v="22331"/>
    <n v="70"/>
    <s v="#LiveForNow"/>
    <x v="2"/>
    <x v="0"/>
    <x v="2"/>
    <x v="0"/>
    <n v="0.13840458048129492"/>
    <n v="3215"/>
  </r>
  <r>
    <s v="P300"/>
    <x v="0"/>
    <s v="2024-08-31"/>
    <x v="3"/>
    <s v="Check out our latest carousel on twitter!"/>
    <n v="4494"/>
    <n v="717"/>
    <x v="226"/>
    <n v="62916"/>
    <n v="62688"/>
    <n v="191"/>
    <s v="#PepsiCoRefresh,#ThirstyForMore,#BetterWithPepsi"/>
    <x v="0"/>
    <x v="1"/>
    <x v="5"/>
    <x v="3"/>
    <n v="8.3539958039290485E-2"/>
    <n v="525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135"/>
    <n v="88"/>
    <n v="344084"/>
    <x v="0"/>
    <x v="0"/>
  </r>
  <r>
    <s v="2024-06-03"/>
    <x v="1"/>
    <n v="1312"/>
    <n v="310"/>
    <n v="42654"/>
    <x v="1"/>
    <x v="1"/>
  </r>
  <r>
    <s v="2024-06-03"/>
    <x v="2"/>
    <n v="584"/>
    <n v="169"/>
    <n v="146834"/>
    <x v="2"/>
    <x v="2"/>
  </r>
  <r>
    <s v="2024-06-03"/>
    <x v="3"/>
    <n v="1535"/>
    <n v="445"/>
    <n v="395536"/>
    <x v="3"/>
    <x v="3"/>
  </r>
  <r>
    <s v="2024-06-10"/>
    <x v="0"/>
    <n v="656"/>
    <n v="139"/>
    <n v="49157"/>
    <x v="4"/>
    <x v="4"/>
  </r>
  <r>
    <s v="2024-06-10"/>
    <x v="1"/>
    <n v="1697"/>
    <n v="414"/>
    <n v="316555"/>
    <x v="5"/>
    <x v="5"/>
  </r>
  <r>
    <s v="2024-06-10"/>
    <x v="2"/>
    <n v="436"/>
    <n v="250"/>
    <n v="254347"/>
    <x v="6"/>
    <x v="6"/>
  </r>
  <r>
    <s v="2024-06-10"/>
    <x v="3"/>
    <n v="1197"/>
    <n v="203"/>
    <n v="413878"/>
    <x v="7"/>
    <x v="7"/>
  </r>
  <r>
    <s v="2024-06-17"/>
    <x v="0"/>
    <n v="1048"/>
    <n v="155"/>
    <n v="456946"/>
    <x v="8"/>
    <x v="8"/>
  </r>
  <r>
    <s v="2024-06-17"/>
    <x v="1"/>
    <n v="1753"/>
    <n v="371"/>
    <n v="169496"/>
    <x v="9"/>
    <x v="9"/>
  </r>
  <r>
    <s v="2024-06-17"/>
    <x v="2"/>
    <n v="1335"/>
    <n v="40"/>
    <n v="122732"/>
    <x v="10"/>
    <x v="10"/>
  </r>
  <r>
    <s v="2024-06-17"/>
    <x v="3"/>
    <n v="403"/>
    <n v="66"/>
    <n v="382851"/>
    <x v="11"/>
    <x v="11"/>
  </r>
  <r>
    <s v="2024-06-24"/>
    <x v="0"/>
    <n v="911"/>
    <n v="282"/>
    <n v="35664"/>
    <x v="12"/>
    <x v="12"/>
  </r>
  <r>
    <s v="2024-06-24"/>
    <x v="1"/>
    <n v="1779"/>
    <n v="109"/>
    <n v="26295"/>
    <x v="13"/>
    <x v="13"/>
  </r>
  <r>
    <s v="2024-06-24"/>
    <x v="2"/>
    <n v="1238"/>
    <n v="403"/>
    <n v="298421"/>
    <x v="14"/>
    <x v="14"/>
  </r>
  <r>
    <s v="2024-06-24"/>
    <x v="3"/>
    <n v="308"/>
    <n v="431"/>
    <n v="426184"/>
    <x v="15"/>
    <x v="15"/>
  </r>
  <r>
    <s v="2024-07-01"/>
    <x v="0"/>
    <n v="226"/>
    <n v="445"/>
    <n v="419447"/>
    <x v="16"/>
    <x v="1"/>
  </r>
  <r>
    <s v="2024-07-01"/>
    <x v="1"/>
    <n v="505"/>
    <n v="441"/>
    <n v="220020"/>
    <x v="17"/>
    <x v="16"/>
  </r>
  <r>
    <s v="2024-07-01"/>
    <x v="2"/>
    <n v="1420"/>
    <n v="63"/>
    <n v="315305"/>
    <x v="18"/>
    <x v="17"/>
  </r>
  <r>
    <s v="2024-07-01"/>
    <x v="3"/>
    <n v="144"/>
    <n v="53"/>
    <n v="113678"/>
    <x v="19"/>
    <x v="18"/>
  </r>
  <r>
    <s v="2024-07-08"/>
    <x v="0"/>
    <n v="1757"/>
    <n v="85"/>
    <n v="58223"/>
    <x v="20"/>
    <x v="19"/>
  </r>
  <r>
    <s v="2024-07-08"/>
    <x v="1"/>
    <n v="350"/>
    <n v="41"/>
    <n v="251694"/>
    <x v="21"/>
    <x v="20"/>
  </r>
  <r>
    <s v="2024-07-08"/>
    <x v="2"/>
    <n v="987"/>
    <n v="440"/>
    <n v="389810"/>
    <x v="22"/>
    <x v="21"/>
  </r>
  <r>
    <s v="2024-07-08"/>
    <x v="3"/>
    <n v="883"/>
    <n v="369"/>
    <n v="233694"/>
    <x v="23"/>
    <x v="22"/>
  </r>
  <r>
    <s v="2024-07-15"/>
    <x v="0"/>
    <n v="1960"/>
    <n v="115"/>
    <n v="154169"/>
    <x v="24"/>
    <x v="23"/>
  </r>
  <r>
    <s v="2024-07-15"/>
    <x v="1"/>
    <n v="170"/>
    <n v="334"/>
    <n v="334626"/>
    <x v="25"/>
    <x v="24"/>
  </r>
  <r>
    <s v="2024-07-15"/>
    <x v="2"/>
    <n v="704"/>
    <n v="275"/>
    <n v="226002"/>
    <x v="26"/>
    <x v="25"/>
  </r>
  <r>
    <s v="2024-07-15"/>
    <x v="3"/>
    <n v="224"/>
    <n v="64"/>
    <n v="156683"/>
    <x v="27"/>
    <x v="26"/>
  </r>
  <r>
    <s v="2024-07-22"/>
    <x v="0"/>
    <n v="508"/>
    <n v="349"/>
    <n v="473812"/>
    <x v="28"/>
    <x v="27"/>
  </r>
  <r>
    <s v="2024-07-22"/>
    <x v="1"/>
    <n v="1391"/>
    <n v="430"/>
    <n v="295032"/>
    <x v="29"/>
    <x v="28"/>
  </r>
  <r>
    <s v="2024-07-22"/>
    <x v="2"/>
    <n v="1701"/>
    <n v="385"/>
    <n v="198278"/>
    <x v="30"/>
    <x v="29"/>
  </r>
  <r>
    <s v="2024-07-22"/>
    <x v="3"/>
    <n v="804"/>
    <n v="487"/>
    <n v="306564"/>
    <x v="31"/>
    <x v="30"/>
  </r>
  <r>
    <s v="2024-07-29"/>
    <x v="0"/>
    <n v="653"/>
    <n v="112"/>
    <n v="23664"/>
    <x v="32"/>
    <x v="31"/>
  </r>
  <r>
    <s v="2024-07-29"/>
    <x v="1"/>
    <n v="160"/>
    <n v="478"/>
    <n v="435034"/>
    <x v="33"/>
    <x v="32"/>
  </r>
  <r>
    <s v="2024-07-29"/>
    <x v="2"/>
    <n v="1756"/>
    <n v="261"/>
    <n v="287574"/>
    <x v="34"/>
    <x v="33"/>
  </r>
  <r>
    <s v="2024-07-29"/>
    <x v="3"/>
    <n v="576"/>
    <n v="101"/>
    <n v="62499"/>
    <x v="35"/>
    <x v="34"/>
  </r>
  <r>
    <s v="2024-08-05"/>
    <x v="0"/>
    <n v="645"/>
    <n v="293"/>
    <n v="437968"/>
    <x v="36"/>
    <x v="35"/>
  </r>
  <r>
    <s v="2024-08-05"/>
    <x v="1"/>
    <n v="214"/>
    <n v="411"/>
    <n v="125034"/>
    <x v="37"/>
    <x v="36"/>
  </r>
  <r>
    <s v="2024-08-05"/>
    <x v="2"/>
    <n v="826"/>
    <n v="498"/>
    <n v="449994"/>
    <x v="38"/>
    <x v="37"/>
  </r>
  <r>
    <s v="2024-08-05"/>
    <x v="3"/>
    <n v="460"/>
    <n v="141"/>
    <n v="320650"/>
    <x v="39"/>
    <x v="38"/>
  </r>
  <r>
    <s v="2024-08-12"/>
    <x v="0"/>
    <n v="1528"/>
    <n v="203"/>
    <n v="489188"/>
    <x v="40"/>
    <x v="39"/>
  </r>
  <r>
    <s v="2024-08-12"/>
    <x v="1"/>
    <n v="1534"/>
    <n v="200"/>
    <n v="307612"/>
    <x v="41"/>
    <x v="40"/>
  </r>
  <r>
    <s v="2024-08-12"/>
    <x v="2"/>
    <n v="485"/>
    <n v="448"/>
    <n v="434883"/>
    <x v="42"/>
    <x v="41"/>
  </r>
  <r>
    <s v="2024-08-12"/>
    <x v="3"/>
    <n v="1210"/>
    <n v="178"/>
    <n v="102042"/>
    <x v="43"/>
    <x v="42"/>
  </r>
  <r>
    <s v="2024-08-19"/>
    <x v="0"/>
    <n v="215"/>
    <n v="139"/>
    <n v="325444"/>
    <x v="44"/>
    <x v="43"/>
  </r>
  <r>
    <s v="2024-08-19"/>
    <x v="1"/>
    <n v="1078"/>
    <n v="20"/>
    <n v="183924"/>
    <x v="45"/>
    <x v="44"/>
  </r>
  <r>
    <s v="2024-08-19"/>
    <x v="2"/>
    <n v="1751"/>
    <n v="86"/>
    <n v="188655"/>
    <x v="46"/>
    <x v="45"/>
  </r>
  <r>
    <s v="2024-08-19"/>
    <x v="3"/>
    <n v="221"/>
    <n v="31"/>
    <n v="87443"/>
    <x v="18"/>
    <x v="46"/>
  </r>
  <r>
    <s v="2024-08-26"/>
    <x v="0"/>
    <n v="1685"/>
    <n v="76"/>
    <n v="453799"/>
    <x v="47"/>
    <x v="47"/>
  </r>
  <r>
    <s v="2024-08-26"/>
    <x v="1"/>
    <n v="248"/>
    <n v="211"/>
    <n v="379380"/>
    <x v="48"/>
    <x v="48"/>
  </r>
  <r>
    <s v="2024-08-26"/>
    <x v="2"/>
    <n v="1300"/>
    <n v="71"/>
    <n v="186454"/>
    <x v="49"/>
    <x v="49"/>
  </r>
  <r>
    <s v="2024-08-26"/>
    <x v="3"/>
    <n v="422"/>
    <n v="394"/>
    <n v="239044"/>
    <x v="36"/>
    <x v="50"/>
  </r>
  <r>
    <s v="2024-09-02"/>
    <x v="0"/>
    <n v="1429"/>
    <n v="182"/>
    <n v="101332"/>
    <x v="50"/>
    <x v="51"/>
  </r>
  <r>
    <s v="2024-09-02"/>
    <x v="1"/>
    <n v="1520"/>
    <n v="475"/>
    <n v="496982"/>
    <x v="51"/>
    <x v="52"/>
  </r>
  <r>
    <s v="2024-09-02"/>
    <x v="2"/>
    <n v="557"/>
    <n v="360"/>
    <n v="318779"/>
    <x v="52"/>
    <x v="53"/>
  </r>
  <r>
    <s v="2024-09-02"/>
    <x v="3"/>
    <n v="728"/>
    <n v="395"/>
    <n v="370971"/>
    <x v="53"/>
    <x v="54"/>
  </r>
  <r>
    <s v="2024-09-09"/>
    <x v="0"/>
    <n v="1592"/>
    <n v="20"/>
    <n v="378054"/>
    <x v="54"/>
    <x v="55"/>
  </r>
  <r>
    <s v="2024-09-09"/>
    <x v="1"/>
    <n v="1842"/>
    <n v="414"/>
    <n v="307524"/>
    <x v="55"/>
    <x v="56"/>
  </r>
  <r>
    <s v="2024-09-09"/>
    <x v="2"/>
    <n v="751"/>
    <n v="491"/>
    <n v="434047"/>
    <x v="56"/>
    <x v="57"/>
  </r>
  <r>
    <s v="2024-09-09"/>
    <x v="3"/>
    <n v="1409"/>
    <n v="309"/>
    <n v="64583"/>
    <x v="57"/>
    <x v="58"/>
  </r>
  <r>
    <s v="2024-09-16"/>
    <x v="0"/>
    <n v="778"/>
    <n v="401"/>
    <n v="50793"/>
    <x v="58"/>
    <x v="59"/>
  </r>
  <r>
    <s v="2024-09-16"/>
    <x v="1"/>
    <n v="443"/>
    <n v="345"/>
    <n v="474162"/>
    <x v="59"/>
    <x v="60"/>
  </r>
  <r>
    <s v="2024-09-16"/>
    <x v="2"/>
    <n v="1472"/>
    <n v="347"/>
    <n v="392355"/>
    <x v="60"/>
    <x v="61"/>
  </r>
  <r>
    <s v="2024-09-16"/>
    <x v="3"/>
    <n v="123"/>
    <n v="155"/>
    <n v="119934"/>
    <x v="14"/>
    <x v="62"/>
  </r>
  <r>
    <s v="2024-09-23"/>
    <x v="0"/>
    <n v="817"/>
    <n v="151"/>
    <n v="422625"/>
    <x v="61"/>
    <x v="63"/>
  </r>
  <r>
    <s v="2024-09-23"/>
    <x v="1"/>
    <n v="198"/>
    <n v="217"/>
    <n v="239753"/>
    <x v="62"/>
    <x v="64"/>
  </r>
  <r>
    <s v="2024-09-23"/>
    <x v="2"/>
    <n v="1911"/>
    <n v="231"/>
    <n v="268516"/>
    <x v="42"/>
    <x v="65"/>
  </r>
  <r>
    <s v="2024-09-23"/>
    <x v="3"/>
    <n v="1218"/>
    <n v="212"/>
    <n v="63177"/>
    <x v="63"/>
    <x v="66"/>
  </r>
  <r>
    <s v="2024-09-30"/>
    <x v="0"/>
    <n v="1433"/>
    <n v="408"/>
    <n v="370269"/>
    <x v="64"/>
    <x v="67"/>
  </r>
  <r>
    <s v="2024-09-30"/>
    <x v="1"/>
    <n v="250"/>
    <n v="429"/>
    <n v="453423"/>
    <x v="65"/>
    <x v="68"/>
  </r>
  <r>
    <s v="2024-09-30"/>
    <x v="2"/>
    <n v="752"/>
    <n v="153"/>
    <n v="64906"/>
    <x v="66"/>
    <x v="69"/>
  </r>
  <r>
    <s v="2024-09-30"/>
    <x v="3"/>
    <n v="1918"/>
    <n v="212"/>
    <n v="94360"/>
    <x v="62"/>
    <x v="70"/>
  </r>
  <r>
    <s v="2024-10-07"/>
    <x v="0"/>
    <n v="1939"/>
    <n v="67"/>
    <n v="187183"/>
    <x v="67"/>
    <x v="71"/>
  </r>
  <r>
    <s v="2024-10-07"/>
    <x v="1"/>
    <n v="1929"/>
    <n v="267"/>
    <n v="379363"/>
    <x v="68"/>
    <x v="72"/>
  </r>
  <r>
    <s v="2024-10-07"/>
    <x v="2"/>
    <n v="437"/>
    <n v="330"/>
    <n v="476486"/>
    <x v="69"/>
    <x v="73"/>
  </r>
  <r>
    <s v="2024-10-07"/>
    <x v="3"/>
    <n v="307"/>
    <n v="189"/>
    <n v="117767"/>
    <x v="70"/>
    <x v="74"/>
  </r>
  <r>
    <s v="2024-10-14"/>
    <x v="0"/>
    <n v="1527"/>
    <n v="303"/>
    <n v="388555"/>
    <x v="71"/>
    <x v="75"/>
  </r>
  <r>
    <s v="2024-10-14"/>
    <x v="1"/>
    <n v="643"/>
    <n v="358"/>
    <n v="157599"/>
    <x v="72"/>
    <x v="76"/>
  </r>
  <r>
    <s v="2024-10-14"/>
    <x v="2"/>
    <n v="201"/>
    <n v="221"/>
    <n v="309772"/>
    <x v="73"/>
    <x v="77"/>
  </r>
  <r>
    <s v="2024-10-14"/>
    <x v="3"/>
    <n v="414"/>
    <n v="47"/>
    <n v="199178"/>
    <x v="74"/>
    <x v="78"/>
  </r>
  <r>
    <s v="2024-10-21"/>
    <x v="0"/>
    <n v="703"/>
    <n v="441"/>
    <n v="357089"/>
    <x v="75"/>
    <x v="79"/>
  </r>
  <r>
    <s v="2024-10-21"/>
    <x v="1"/>
    <n v="508"/>
    <n v="69"/>
    <n v="23492"/>
    <x v="7"/>
    <x v="80"/>
  </r>
  <r>
    <s v="2024-10-21"/>
    <x v="2"/>
    <n v="697"/>
    <n v="61"/>
    <n v="258287"/>
    <x v="76"/>
    <x v="81"/>
  </r>
  <r>
    <s v="2024-10-21"/>
    <x v="3"/>
    <n v="1707"/>
    <n v="223"/>
    <n v="256910"/>
    <x v="77"/>
    <x v="82"/>
  </r>
  <r>
    <s v="2024-10-28"/>
    <x v="0"/>
    <n v="642"/>
    <n v="66"/>
    <n v="346522"/>
    <x v="78"/>
    <x v="83"/>
  </r>
  <r>
    <s v="2024-10-28"/>
    <x v="1"/>
    <n v="859"/>
    <n v="473"/>
    <n v="209987"/>
    <x v="79"/>
    <x v="84"/>
  </r>
  <r>
    <s v="2024-10-28"/>
    <x v="2"/>
    <n v="191"/>
    <n v="154"/>
    <n v="240550"/>
    <x v="80"/>
    <x v="85"/>
  </r>
  <r>
    <s v="2024-10-28"/>
    <x v="3"/>
    <n v="1814"/>
    <n v="157"/>
    <n v="305827"/>
    <x v="81"/>
    <x v="86"/>
  </r>
  <r>
    <s v="2024-11-04"/>
    <x v="0"/>
    <n v="1466"/>
    <n v="69"/>
    <n v="54935"/>
    <x v="82"/>
    <x v="87"/>
  </r>
  <r>
    <s v="2024-11-04"/>
    <x v="1"/>
    <n v="947"/>
    <n v="407"/>
    <n v="319186"/>
    <x v="83"/>
    <x v="88"/>
  </r>
  <r>
    <s v="2024-11-04"/>
    <x v="2"/>
    <n v="1821"/>
    <n v="218"/>
    <n v="439080"/>
    <x v="84"/>
    <x v="89"/>
  </r>
  <r>
    <s v="2024-11-04"/>
    <x v="3"/>
    <n v="1507"/>
    <n v="463"/>
    <n v="258944"/>
    <x v="85"/>
    <x v="90"/>
  </r>
  <r>
    <s v="2024-11-11"/>
    <x v="0"/>
    <n v="1075"/>
    <n v="173"/>
    <n v="51395"/>
    <x v="22"/>
    <x v="91"/>
  </r>
  <r>
    <s v="2024-11-11"/>
    <x v="1"/>
    <n v="171"/>
    <n v="277"/>
    <n v="309483"/>
    <x v="86"/>
    <x v="92"/>
  </r>
  <r>
    <s v="2024-11-11"/>
    <x v="2"/>
    <n v="1487"/>
    <n v="337"/>
    <n v="87305"/>
    <x v="8"/>
    <x v="93"/>
  </r>
  <r>
    <s v="2024-11-11"/>
    <x v="3"/>
    <n v="454"/>
    <n v="105"/>
    <n v="121091"/>
    <x v="87"/>
    <x v="94"/>
  </r>
  <r>
    <s v="2024-11-18"/>
    <x v="0"/>
    <n v="187"/>
    <n v="236"/>
    <n v="51087"/>
    <x v="88"/>
    <x v="95"/>
  </r>
  <r>
    <s v="2024-11-18"/>
    <x v="1"/>
    <n v="513"/>
    <n v="441"/>
    <n v="338847"/>
    <x v="89"/>
    <x v="96"/>
  </r>
  <r>
    <s v="2024-11-18"/>
    <x v="2"/>
    <n v="628"/>
    <n v="183"/>
    <n v="487523"/>
    <x v="90"/>
    <x v="97"/>
  </r>
  <r>
    <s v="2024-11-18"/>
    <x v="3"/>
    <n v="278"/>
    <n v="218"/>
    <n v="301695"/>
    <x v="91"/>
    <x v="98"/>
  </r>
  <r>
    <s v="2024-11-25"/>
    <x v="0"/>
    <n v="1854"/>
    <n v="161"/>
    <n v="282466"/>
    <x v="92"/>
    <x v="99"/>
  </r>
  <r>
    <s v="2024-11-25"/>
    <x v="1"/>
    <n v="1710"/>
    <n v="378"/>
    <n v="336661"/>
    <x v="93"/>
    <x v="100"/>
  </r>
  <r>
    <s v="2024-11-25"/>
    <x v="2"/>
    <n v="330"/>
    <n v="232"/>
    <n v="88455"/>
    <x v="94"/>
    <x v="101"/>
  </r>
  <r>
    <s v="2024-11-25"/>
    <x v="3"/>
    <n v="1293"/>
    <n v="408"/>
    <n v="62535"/>
    <x v="71"/>
    <x v="102"/>
  </r>
  <r>
    <s v="2024-12-02"/>
    <x v="0"/>
    <n v="1696"/>
    <n v="71"/>
    <n v="421957"/>
    <x v="95"/>
    <x v="103"/>
  </r>
  <r>
    <s v="2024-12-02"/>
    <x v="1"/>
    <n v="1902"/>
    <n v="196"/>
    <n v="470269"/>
    <x v="96"/>
    <x v="104"/>
  </r>
  <r>
    <s v="2024-12-02"/>
    <x v="2"/>
    <n v="1441"/>
    <n v="268"/>
    <n v="309904"/>
    <x v="97"/>
    <x v="105"/>
  </r>
  <r>
    <s v="2024-12-02"/>
    <x v="3"/>
    <n v="452"/>
    <n v="161"/>
    <n v="221274"/>
    <x v="98"/>
    <x v="106"/>
  </r>
  <r>
    <s v="2024-12-09"/>
    <x v="0"/>
    <n v="1494"/>
    <n v="375"/>
    <n v="220616"/>
    <x v="99"/>
    <x v="107"/>
  </r>
  <r>
    <s v="2024-12-09"/>
    <x v="1"/>
    <n v="1514"/>
    <n v="141"/>
    <n v="35842"/>
    <x v="100"/>
    <x v="108"/>
  </r>
  <r>
    <s v="2024-12-09"/>
    <x v="2"/>
    <n v="1937"/>
    <n v="210"/>
    <n v="20607"/>
    <x v="101"/>
    <x v="109"/>
  </r>
  <r>
    <s v="2024-12-09"/>
    <x v="3"/>
    <n v="736"/>
    <n v="163"/>
    <n v="451894"/>
    <x v="102"/>
    <x v="110"/>
  </r>
  <r>
    <s v="2024-12-16"/>
    <x v="0"/>
    <n v="1502"/>
    <n v="70"/>
    <n v="465553"/>
    <x v="83"/>
    <x v="111"/>
  </r>
  <r>
    <s v="2024-12-16"/>
    <x v="1"/>
    <n v="1623"/>
    <n v="246"/>
    <n v="415815"/>
    <x v="9"/>
    <x v="112"/>
  </r>
  <r>
    <s v="2024-12-16"/>
    <x v="2"/>
    <n v="1592"/>
    <n v="233"/>
    <n v="327183"/>
    <x v="103"/>
    <x v="113"/>
  </r>
  <r>
    <s v="2024-12-16"/>
    <x v="3"/>
    <n v="1004"/>
    <n v="128"/>
    <n v="488901"/>
    <x v="104"/>
    <x v="114"/>
  </r>
  <r>
    <s v="2024-12-23"/>
    <x v="0"/>
    <n v="1092"/>
    <n v="408"/>
    <n v="280795"/>
    <x v="105"/>
    <x v="115"/>
  </r>
  <r>
    <s v="2024-12-23"/>
    <x v="1"/>
    <n v="1155"/>
    <n v="425"/>
    <n v="93347"/>
    <x v="106"/>
    <x v="116"/>
  </r>
  <r>
    <s v="2024-12-23"/>
    <x v="2"/>
    <n v="1137"/>
    <n v="226"/>
    <n v="81119"/>
    <x v="107"/>
    <x v="117"/>
  </r>
  <r>
    <s v="2024-12-23"/>
    <x v="3"/>
    <n v="1900"/>
    <n v="311"/>
    <n v="25177"/>
    <x v="108"/>
    <x v="118"/>
  </r>
  <r>
    <s v="2024-12-30"/>
    <x v="0"/>
    <n v="1814"/>
    <n v="49"/>
    <n v="140804"/>
    <x v="55"/>
    <x v="119"/>
  </r>
  <r>
    <s v="2024-12-30"/>
    <x v="1"/>
    <n v="1980"/>
    <n v="204"/>
    <n v="379431"/>
    <x v="109"/>
    <x v="120"/>
  </r>
  <r>
    <s v="2024-12-30"/>
    <x v="2"/>
    <n v="1786"/>
    <n v="257"/>
    <n v="274831"/>
    <x v="91"/>
    <x v="121"/>
  </r>
  <r>
    <s v="2024-12-30"/>
    <x v="3"/>
    <n v="1495"/>
    <n v="35"/>
    <n v="136845"/>
    <x v="17"/>
    <x v="122"/>
  </r>
  <r>
    <s v="2025-01-06"/>
    <x v="0"/>
    <n v="1013"/>
    <n v="110"/>
    <n v="466382"/>
    <x v="110"/>
    <x v="123"/>
  </r>
  <r>
    <s v="2025-01-06"/>
    <x v="1"/>
    <n v="816"/>
    <n v="196"/>
    <n v="95728"/>
    <x v="111"/>
    <x v="124"/>
  </r>
  <r>
    <s v="2025-01-06"/>
    <x v="2"/>
    <n v="1633"/>
    <n v="445"/>
    <n v="371156"/>
    <x v="112"/>
    <x v="125"/>
  </r>
  <r>
    <s v="2025-01-06"/>
    <x v="3"/>
    <n v="891"/>
    <n v="45"/>
    <n v="95410"/>
    <x v="113"/>
    <x v="126"/>
  </r>
  <r>
    <s v="2025-01-13"/>
    <x v="0"/>
    <n v="1855"/>
    <n v="133"/>
    <n v="349413"/>
    <x v="64"/>
    <x v="127"/>
  </r>
  <r>
    <s v="2025-01-13"/>
    <x v="1"/>
    <n v="651"/>
    <n v="353"/>
    <n v="224699"/>
    <x v="114"/>
    <x v="128"/>
  </r>
  <r>
    <s v="2025-01-13"/>
    <x v="2"/>
    <n v="118"/>
    <n v="262"/>
    <n v="487896"/>
    <x v="115"/>
    <x v="129"/>
  </r>
  <r>
    <s v="2025-01-13"/>
    <x v="3"/>
    <n v="1331"/>
    <n v="430"/>
    <n v="14437"/>
    <x v="116"/>
    <x v="130"/>
  </r>
  <r>
    <s v="2025-01-20"/>
    <x v="0"/>
    <n v="1748"/>
    <n v="176"/>
    <n v="383681"/>
    <x v="56"/>
    <x v="131"/>
  </r>
  <r>
    <s v="2025-01-20"/>
    <x v="1"/>
    <n v="663"/>
    <n v="236"/>
    <n v="479490"/>
    <x v="117"/>
    <x v="132"/>
  </r>
  <r>
    <s v="2025-01-20"/>
    <x v="2"/>
    <n v="1040"/>
    <n v="149"/>
    <n v="124404"/>
    <x v="118"/>
    <x v="133"/>
  </r>
  <r>
    <s v="2025-01-20"/>
    <x v="3"/>
    <n v="1166"/>
    <n v="442"/>
    <n v="336949"/>
    <x v="91"/>
    <x v="134"/>
  </r>
  <r>
    <s v="2025-01-27"/>
    <x v="0"/>
    <n v="115"/>
    <n v="281"/>
    <n v="357265"/>
    <x v="119"/>
    <x v="135"/>
  </r>
  <r>
    <s v="2025-01-27"/>
    <x v="1"/>
    <n v="1249"/>
    <n v="351"/>
    <n v="321307"/>
    <x v="97"/>
    <x v="136"/>
  </r>
  <r>
    <s v="2025-01-27"/>
    <x v="2"/>
    <n v="1501"/>
    <n v="75"/>
    <n v="262569"/>
    <x v="120"/>
    <x v="137"/>
  </r>
  <r>
    <s v="2025-01-27"/>
    <x v="3"/>
    <n v="1411"/>
    <n v="186"/>
    <n v="461669"/>
    <x v="121"/>
    <x v="138"/>
  </r>
  <r>
    <s v="2025-02-03"/>
    <x v="0"/>
    <n v="1556"/>
    <n v="476"/>
    <n v="351556"/>
    <x v="122"/>
    <x v="139"/>
  </r>
  <r>
    <s v="2025-02-03"/>
    <x v="1"/>
    <n v="1159"/>
    <n v="411"/>
    <n v="135987"/>
    <x v="86"/>
    <x v="140"/>
  </r>
  <r>
    <s v="2025-02-03"/>
    <x v="2"/>
    <n v="927"/>
    <n v="358"/>
    <n v="177554"/>
    <x v="123"/>
    <x v="141"/>
  </r>
  <r>
    <s v="2025-02-03"/>
    <x v="3"/>
    <n v="152"/>
    <n v="355"/>
    <n v="270766"/>
    <x v="124"/>
    <x v="142"/>
  </r>
  <r>
    <s v="2025-02-10"/>
    <x v="0"/>
    <n v="1957"/>
    <n v="234"/>
    <n v="222126"/>
    <x v="125"/>
    <x v="143"/>
  </r>
  <r>
    <s v="2025-02-10"/>
    <x v="1"/>
    <n v="1294"/>
    <n v="382"/>
    <n v="309914"/>
    <x v="126"/>
    <x v="144"/>
  </r>
  <r>
    <s v="2025-02-10"/>
    <x v="2"/>
    <n v="1587"/>
    <n v="385"/>
    <n v="126582"/>
    <x v="127"/>
    <x v="145"/>
  </r>
  <r>
    <s v="2025-02-10"/>
    <x v="3"/>
    <n v="1707"/>
    <n v="263"/>
    <n v="485280"/>
    <x v="128"/>
    <x v="146"/>
  </r>
  <r>
    <s v="2025-02-17"/>
    <x v="0"/>
    <n v="1138"/>
    <n v="173"/>
    <n v="453243"/>
    <x v="129"/>
    <x v="147"/>
  </r>
  <r>
    <s v="2025-02-17"/>
    <x v="1"/>
    <n v="1895"/>
    <n v="305"/>
    <n v="104967"/>
    <x v="130"/>
    <x v="148"/>
  </r>
  <r>
    <s v="2025-02-17"/>
    <x v="2"/>
    <n v="362"/>
    <n v="399"/>
    <n v="145608"/>
    <x v="131"/>
    <x v="149"/>
  </r>
  <r>
    <s v="2025-02-17"/>
    <x v="3"/>
    <n v="1662"/>
    <n v="487"/>
    <n v="105980"/>
    <x v="132"/>
    <x v="150"/>
  </r>
  <r>
    <s v="2025-02-24"/>
    <x v="0"/>
    <n v="1440"/>
    <n v="65"/>
    <n v="126524"/>
    <x v="133"/>
    <x v="151"/>
  </r>
  <r>
    <s v="2025-02-24"/>
    <x v="1"/>
    <n v="1884"/>
    <n v="177"/>
    <n v="230448"/>
    <x v="134"/>
    <x v="152"/>
  </r>
  <r>
    <s v="2025-02-24"/>
    <x v="2"/>
    <n v="861"/>
    <n v="153"/>
    <n v="317007"/>
    <x v="130"/>
    <x v="153"/>
  </r>
  <r>
    <s v="2025-02-24"/>
    <x v="3"/>
    <n v="1063"/>
    <n v="47"/>
    <n v="464239"/>
    <x v="135"/>
    <x v="154"/>
  </r>
  <r>
    <s v="2025-03-03"/>
    <x v="0"/>
    <n v="1371"/>
    <n v="56"/>
    <n v="257579"/>
    <x v="136"/>
    <x v="155"/>
  </r>
  <r>
    <s v="2025-03-03"/>
    <x v="1"/>
    <n v="345"/>
    <n v="464"/>
    <n v="366881"/>
    <x v="137"/>
    <x v="156"/>
  </r>
  <r>
    <s v="2025-03-03"/>
    <x v="2"/>
    <n v="946"/>
    <n v="47"/>
    <n v="466575"/>
    <x v="113"/>
    <x v="157"/>
  </r>
  <r>
    <s v="2025-03-03"/>
    <x v="3"/>
    <n v="510"/>
    <n v="195"/>
    <n v="224534"/>
    <x v="138"/>
    <x v="158"/>
  </r>
  <r>
    <s v="2025-03-10"/>
    <x v="0"/>
    <n v="393"/>
    <n v="181"/>
    <n v="462142"/>
    <x v="139"/>
    <x v="159"/>
  </r>
  <r>
    <s v="2025-03-10"/>
    <x v="1"/>
    <n v="1098"/>
    <n v="190"/>
    <n v="340842"/>
    <x v="140"/>
    <x v="160"/>
  </r>
  <r>
    <s v="2025-03-10"/>
    <x v="2"/>
    <n v="1399"/>
    <n v="49"/>
    <n v="12471"/>
    <x v="141"/>
    <x v="161"/>
  </r>
  <r>
    <s v="2025-03-10"/>
    <x v="3"/>
    <n v="1658"/>
    <n v="416"/>
    <n v="98397"/>
    <x v="37"/>
    <x v="162"/>
  </r>
  <r>
    <s v="2025-03-17"/>
    <x v="0"/>
    <n v="1102"/>
    <n v="422"/>
    <n v="410330"/>
    <x v="107"/>
    <x v="163"/>
  </r>
  <r>
    <s v="2025-03-17"/>
    <x v="1"/>
    <n v="1358"/>
    <n v="242"/>
    <n v="342129"/>
    <x v="142"/>
    <x v="164"/>
  </r>
  <r>
    <s v="2025-03-17"/>
    <x v="2"/>
    <n v="1077"/>
    <n v="216"/>
    <n v="12447"/>
    <x v="143"/>
    <x v="165"/>
  </r>
  <r>
    <s v="2025-03-17"/>
    <x v="3"/>
    <n v="1596"/>
    <n v="211"/>
    <n v="17380"/>
    <x v="144"/>
    <x v="166"/>
  </r>
  <r>
    <s v="2025-03-24"/>
    <x v="0"/>
    <n v="490"/>
    <n v="29"/>
    <n v="364810"/>
    <x v="74"/>
    <x v="167"/>
  </r>
  <r>
    <s v="2025-03-24"/>
    <x v="1"/>
    <n v="609"/>
    <n v="135"/>
    <n v="373606"/>
    <x v="145"/>
    <x v="168"/>
  </r>
  <r>
    <s v="2025-03-24"/>
    <x v="2"/>
    <n v="364"/>
    <n v="72"/>
    <n v="211090"/>
    <x v="146"/>
    <x v="169"/>
  </r>
  <r>
    <s v="2025-03-24"/>
    <x v="3"/>
    <n v="442"/>
    <n v="53"/>
    <n v="441931"/>
    <x v="147"/>
    <x v="170"/>
  </r>
  <r>
    <s v="2025-03-31"/>
    <x v="0"/>
    <n v="1033"/>
    <n v="392"/>
    <n v="282780"/>
    <x v="148"/>
    <x v="171"/>
  </r>
  <r>
    <s v="2025-03-31"/>
    <x v="1"/>
    <n v="988"/>
    <n v="474"/>
    <n v="370070"/>
    <x v="149"/>
    <x v="172"/>
  </r>
  <r>
    <s v="2025-03-31"/>
    <x v="2"/>
    <n v="1946"/>
    <n v="270"/>
    <n v="198350"/>
    <x v="150"/>
    <x v="173"/>
  </r>
  <r>
    <s v="2025-03-31"/>
    <x v="3"/>
    <n v="1957"/>
    <n v="490"/>
    <n v="435726"/>
    <x v="151"/>
    <x v="174"/>
  </r>
  <r>
    <s v="2025-04-07"/>
    <x v="0"/>
    <n v="559"/>
    <n v="392"/>
    <n v="78789"/>
    <x v="152"/>
    <x v="175"/>
  </r>
  <r>
    <s v="2025-04-07"/>
    <x v="1"/>
    <n v="1307"/>
    <n v="278"/>
    <n v="98596"/>
    <x v="153"/>
    <x v="176"/>
  </r>
  <r>
    <s v="2025-04-07"/>
    <x v="2"/>
    <n v="1432"/>
    <n v="425"/>
    <n v="29589"/>
    <x v="154"/>
    <x v="177"/>
  </r>
  <r>
    <s v="2025-04-07"/>
    <x v="3"/>
    <n v="623"/>
    <n v="414"/>
    <n v="290354"/>
    <x v="155"/>
    <x v="178"/>
  </r>
  <r>
    <s v="2025-04-14"/>
    <x v="0"/>
    <n v="198"/>
    <n v="358"/>
    <n v="66682"/>
    <x v="156"/>
    <x v="179"/>
  </r>
  <r>
    <s v="2025-04-14"/>
    <x v="1"/>
    <n v="198"/>
    <n v="373"/>
    <n v="70707"/>
    <x v="157"/>
    <x v="180"/>
  </r>
  <r>
    <s v="2025-04-14"/>
    <x v="2"/>
    <n v="353"/>
    <n v="300"/>
    <n v="142507"/>
    <x v="110"/>
    <x v="181"/>
  </r>
  <r>
    <s v="2025-04-14"/>
    <x v="3"/>
    <n v="520"/>
    <n v="375"/>
    <n v="369525"/>
    <x v="158"/>
    <x v="182"/>
  </r>
  <r>
    <s v="2025-04-21"/>
    <x v="0"/>
    <n v="961"/>
    <n v="358"/>
    <n v="62942"/>
    <x v="159"/>
    <x v="183"/>
  </r>
  <r>
    <s v="2025-04-21"/>
    <x v="1"/>
    <n v="1375"/>
    <n v="330"/>
    <n v="377382"/>
    <x v="160"/>
    <x v="184"/>
  </r>
  <r>
    <s v="2025-04-21"/>
    <x v="2"/>
    <n v="1147"/>
    <n v="388"/>
    <n v="333851"/>
    <x v="161"/>
    <x v="185"/>
  </r>
  <r>
    <s v="2025-04-21"/>
    <x v="3"/>
    <n v="1707"/>
    <n v="74"/>
    <n v="270958"/>
    <x v="109"/>
    <x v="186"/>
  </r>
  <r>
    <s v="2025-04-28"/>
    <x v="0"/>
    <n v="1693"/>
    <n v="154"/>
    <n v="445944"/>
    <x v="162"/>
    <x v="187"/>
  </r>
  <r>
    <s v="2025-04-28"/>
    <x v="1"/>
    <n v="833"/>
    <n v="380"/>
    <n v="224830"/>
    <x v="53"/>
    <x v="188"/>
  </r>
  <r>
    <s v="2025-04-28"/>
    <x v="2"/>
    <n v="1222"/>
    <n v="274"/>
    <n v="487289"/>
    <x v="7"/>
    <x v="189"/>
  </r>
  <r>
    <s v="2025-04-28"/>
    <x v="3"/>
    <n v="777"/>
    <n v="140"/>
    <n v="11435"/>
    <x v="163"/>
    <x v="190"/>
  </r>
  <r>
    <s v="2025-05-05"/>
    <x v="0"/>
    <n v="1957"/>
    <n v="76"/>
    <n v="447902"/>
    <x v="164"/>
    <x v="191"/>
  </r>
  <r>
    <s v="2025-05-05"/>
    <x v="1"/>
    <n v="405"/>
    <n v="66"/>
    <n v="418696"/>
    <x v="165"/>
    <x v="192"/>
  </r>
  <r>
    <s v="2025-05-05"/>
    <x v="2"/>
    <n v="1581"/>
    <n v="71"/>
    <n v="484364"/>
    <x v="166"/>
    <x v="193"/>
  </r>
  <r>
    <s v="2025-05-05"/>
    <x v="3"/>
    <n v="1035"/>
    <n v="171"/>
    <n v="148477"/>
    <x v="167"/>
    <x v="194"/>
  </r>
  <r>
    <s v="2025-05-12"/>
    <x v="0"/>
    <n v="1765"/>
    <n v="109"/>
    <n v="468301"/>
    <x v="168"/>
    <x v="195"/>
  </r>
  <r>
    <s v="2025-05-12"/>
    <x v="1"/>
    <n v="837"/>
    <n v="430"/>
    <n v="364820"/>
    <x v="169"/>
    <x v="196"/>
  </r>
  <r>
    <s v="2025-05-12"/>
    <x v="2"/>
    <n v="337"/>
    <n v="68"/>
    <n v="456298"/>
    <x v="170"/>
    <x v="197"/>
  </r>
  <r>
    <s v="2025-05-12"/>
    <x v="3"/>
    <n v="119"/>
    <n v="456"/>
    <n v="82558"/>
    <x v="171"/>
    <x v="19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r>
  <r>
    <x v="1"/>
    <x v="1"/>
    <x v="1"/>
  </r>
  <r>
    <x v="2"/>
    <x v="2"/>
    <x v="2"/>
  </r>
  <r>
    <x v="3"/>
    <x v="3"/>
    <x v="3"/>
  </r>
  <r>
    <x v="4"/>
    <x v="4"/>
    <x v="4"/>
  </r>
  <r>
    <x v="5"/>
    <x v="5"/>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s v="P001"/>
    <s v="Twitter"/>
    <s v="2024-12-23"/>
    <s v="Reel"/>
    <s v="Check out our latest reel on twitter!"/>
    <n v="1461"/>
    <n v="184"/>
    <n v="344"/>
    <n v="21915"/>
    <n v="21675"/>
    <n v="15"/>
    <s v="#LiveForNow,#AnytimeIsPepsiTime"/>
    <x v="0"/>
    <s v="#LiveForNow"/>
    <s v="#AnytimeIsPepsiTime"/>
    <m/>
    <n v="9.0759753593429152E-2"/>
    <n v="1989"/>
  </r>
  <r>
    <s v="P002"/>
    <s v="Twitter"/>
    <s v="2025-04-03"/>
    <s v="Text"/>
    <s v="Check out our latest text on twitter!"/>
    <n v="4054"/>
    <n v="389"/>
    <n v="493"/>
    <n v="64864"/>
    <n v="64383"/>
    <n v="117"/>
    <s v="#PepsiCoRefresh,#BetterWithPepsi"/>
    <x v="1"/>
    <s v="#PepsiCoRefresh"/>
    <s v="#BetterWithPepsi"/>
    <m/>
    <n v="7.6097681302417369E-2"/>
    <n v="4936"/>
  </r>
  <r>
    <s v="P003"/>
    <s v="YouTube"/>
    <s v="2025-05-12"/>
    <s v="Reel"/>
    <s v="Check out our latest reel on youtube!"/>
    <n v="2795"/>
    <n v="105"/>
    <n v="49"/>
    <n v="53105"/>
    <n v="52307"/>
    <n v="204"/>
    <s v="#PepsiCoRefresh"/>
    <x v="2"/>
    <s v="#PepsiCoRefresh"/>
    <m/>
    <m/>
    <n v="5.5531494209584788E-2"/>
    <n v="2949"/>
  </r>
  <r>
    <s v="P004"/>
    <s v="Instagram"/>
    <s v="2024-08-12"/>
    <s v="Story"/>
    <s v="Check out our latest story on instagram!"/>
    <n v="2404"/>
    <n v="363"/>
    <n v="138"/>
    <n v="19232"/>
    <n v="18636"/>
    <n v="128"/>
    <s v="#ThirstyForMore"/>
    <x v="3"/>
    <s v="#ThirstyForMore"/>
    <m/>
    <m/>
    <n v="0.15105033277870217"/>
    <n v="2905"/>
  </r>
  <r>
    <s v="P005"/>
    <s v="YouTube"/>
    <s v="2024-06-26"/>
    <s v="Reel"/>
    <s v="Check out our latest reel on youtube!"/>
    <n v="3557"/>
    <n v="687"/>
    <n v="424"/>
    <n v="71140"/>
    <n v="70701"/>
    <n v="224"/>
    <s v="#ThirstyForMore,#PepsiCoRefresh"/>
    <x v="0"/>
    <s v="#ThirstyForMore"/>
    <s v="#PepsiCoRefresh"/>
    <m/>
    <n v="6.5617093055946027E-2"/>
    <n v="4668"/>
  </r>
  <r>
    <s v="P006"/>
    <s v="Facebook"/>
    <s v="2024-10-31"/>
    <s v="Carousel"/>
    <s v="Check out our latest carousel on facebook!"/>
    <n v="2945"/>
    <n v="930"/>
    <n v="355"/>
    <n v="23560"/>
    <n v="23275"/>
    <n v="256"/>
    <s v="#PepsiCoRefresh"/>
    <x v="1"/>
    <s v="#PepsiCoRefresh"/>
    <m/>
    <m/>
    <n v="0.17954159592529711"/>
    <n v="4230"/>
  </r>
  <r>
    <s v="P007"/>
    <s v="Twitter"/>
    <s v="2024-06-24"/>
    <s v="Carousel"/>
    <s v="Check out our latest carousel on twitter!"/>
    <n v="3860"/>
    <n v="201"/>
    <n v="279"/>
    <n v="61760"/>
    <n v="61660"/>
    <n v="235"/>
    <s v="#PepsiCoRefresh"/>
    <x v="1"/>
    <s v="#PepsiCoRefresh"/>
    <m/>
    <m/>
    <n v="7.0272020725388601E-2"/>
    <n v="4340"/>
  </r>
  <r>
    <s v="P008"/>
    <s v="YouTube"/>
    <s v="2024-07-13"/>
    <s v="Image"/>
    <s v="Check out our latest image on youtube!"/>
    <n v="3929"/>
    <n v="262"/>
    <n v="278"/>
    <n v="43219"/>
    <n v="42841"/>
    <n v="39"/>
    <s v="#ThirstyForMore"/>
    <x v="3"/>
    <s v="#ThirstyForMore"/>
    <m/>
    <m/>
    <n v="0.10340359564080613"/>
    <n v="4469"/>
  </r>
  <r>
    <s v="P009"/>
    <s v="Facebook"/>
    <s v="2024-08-30"/>
    <s v="Text"/>
    <s v="Check out our latest text on facebook!"/>
    <n v="3784"/>
    <n v="808"/>
    <n v="404"/>
    <n v="56760"/>
    <n v="56343"/>
    <n v="131"/>
    <s v="#PepsiCoRefresh"/>
    <x v="1"/>
    <s v="#PepsiCoRefresh"/>
    <m/>
    <m/>
    <n v="8.8019732205778717E-2"/>
    <n v="4996"/>
  </r>
  <r>
    <s v="P010"/>
    <s v="Facebook"/>
    <s v="2025-03-11"/>
    <s v="Image"/>
    <s v="Check out our latest image on facebook!"/>
    <n v="4241"/>
    <n v="902"/>
    <n v="47"/>
    <n v="72097"/>
    <n v="71598"/>
    <n v="167"/>
    <s v="#PepsiCoRefresh"/>
    <x v="1"/>
    <s v="#PepsiCoRefresh"/>
    <m/>
    <m/>
    <n v="7.198635172059864E-2"/>
    <n v="5190"/>
  </r>
  <r>
    <s v="P011"/>
    <s v="Instagram"/>
    <s v="2025-02-02"/>
    <s v="Story"/>
    <s v="Check out our latest story on instagram!"/>
    <n v="1792"/>
    <n v="614"/>
    <n v="497"/>
    <n v="25088"/>
    <n v="24675"/>
    <n v="65"/>
    <s v="#LiveForNow"/>
    <x v="3"/>
    <s v="#LiveForNow"/>
    <m/>
    <m/>
    <n v="0.11571269132653061"/>
    <n v="2903"/>
  </r>
  <r>
    <s v="P012"/>
    <s v="Facebook"/>
    <s v="2024-07-21"/>
    <s v="Reel"/>
    <s v="Check out our latest reel on facebook!"/>
    <n v="1946"/>
    <n v="686"/>
    <n v="377"/>
    <n v="23352"/>
    <n v="22982"/>
    <n v="213"/>
    <s v="#LiveForNow"/>
    <x v="2"/>
    <s v="#LiveForNow"/>
    <m/>
    <m/>
    <n v="0.12885405960945528"/>
    <n v="3009"/>
  </r>
  <r>
    <s v="P013"/>
    <s v="YouTube"/>
    <s v="2024-11-18"/>
    <s v="Carousel"/>
    <s v="Check out our latest carousel on youtube!"/>
    <n v="1171"/>
    <n v="286"/>
    <n v="231"/>
    <n v="22249"/>
    <n v="21282"/>
    <n v="114"/>
    <s v="#ThirstyForMore"/>
    <x v="0"/>
    <s v="#ThirstyForMore"/>
    <m/>
    <m/>
    <n v="7.5868578363072495E-2"/>
    <n v="1688"/>
  </r>
  <r>
    <s v="P014"/>
    <s v="Facebook"/>
    <s v="2025-02-16"/>
    <s v="Story"/>
    <s v="Check out our latest story on facebook!"/>
    <n v="4242"/>
    <n v="555"/>
    <n v="131"/>
    <n v="33936"/>
    <n v="33802"/>
    <n v="265"/>
    <s v="#LiveForNow"/>
    <x v="4"/>
    <s v="#LiveForNow"/>
    <m/>
    <m/>
    <n v="0.14521452145214522"/>
    <n v="4928"/>
  </r>
  <r>
    <s v="P015"/>
    <s v="Facebook"/>
    <s v="2024-10-24"/>
    <s v="Video"/>
    <s v="Check out our latest video on facebook!"/>
    <n v="3888"/>
    <n v="604"/>
    <n v="128"/>
    <n v="77760"/>
    <n v="77167"/>
    <n v="20"/>
    <s v="#LiveForNow"/>
    <x v="0"/>
    <s v="#LiveForNow"/>
    <m/>
    <m/>
    <n v="5.941358024691358E-2"/>
    <n v="4620"/>
  </r>
  <r>
    <s v="P016"/>
    <s v="Facebook"/>
    <s v="2024-08-26"/>
    <s v="Text"/>
    <s v="Check out our latest text on facebook!"/>
    <n v="3452"/>
    <n v="377"/>
    <n v="360"/>
    <n v="55232"/>
    <n v="55075"/>
    <n v="87"/>
    <s v="#LiveForNow"/>
    <x v="2"/>
    <s v="#LiveForNow"/>
    <m/>
    <m/>
    <n v="7.5843713789107758E-2"/>
    <n v="4189"/>
  </r>
  <r>
    <s v="P017"/>
    <s v="Facebook"/>
    <s v="2025-05-05"/>
    <s v="Text"/>
    <s v="Check out our latest text on facebook!"/>
    <n v="4441"/>
    <n v="511"/>
    <n v="70"/>
    <n v="53292"/>
    <n v="53082"/>
    <n v="159"/>
    <s v="#ThirstyForMore"/>
    <x v="3"/>
    <s v="#ThirstyForMore"/>
    <m/>
    <m/>
    <n v="9.4235532537716729E-2"/>
    <n v="5022"/>
  </r>
  <r>
    <s v="P018"/>
    <s v="Instagram"/>
    <s v="2024-08-19"/>
    <s v="Reel"/>
    <s v="Check out our latest reel on instagram!"/>
    <n v="3000"/>
    <n v="382"/>
    <n v="325"/>
    <n v="36000"/>
    <n v="35819"/>
    <n v="19"/>
    <s v="#LiveForNow"/>
    <x v="0"/>
    <s v="#LiveForNow"/>
    <m/>
    <m/>
    <n v="0.10297222222222223"/>
    <n v="3707"/>
  </r>
  <r>
    <s v="P019"/>
    <s v="Instagram"/>
    <s v="2024-06-23"/>
    <s v="Video"/>
    <s v="Check out our latest video on instagram!"/>
    <n v="1071"/>
    <n v="519"/>
    <n v="22"/>
    <n v="16065"/>
    <n v="15865"/>
    <n v="103"/>
    <s v="#PepsiCoRefresh"/>
    <x v="3"/>
    <s v="#PepsiCoRefresh"/>
    <m/>
    <m/>
    <n v="0.10034235916588857"/>
    <n v="1612"/>
  </r>
  <r>
    <s v="P020"/>
    <s v="Instagram"/>
    <s v="2024-09-09"/>
    <s v="Carousel"/>
    <s v="Check out our latest carousel on instagram!"/>
    <n v="4054"/>
    <n v="488"/>
    <n v="373"/>
    <n v="77026"/>
    <n v="76881"/>
    <n v="25"/>
    <s v="#PepsiCoRefresh"/>
    <x v="0"/>
    <s v="#PepsiCoRefresh"/>
    <m/>
    <m/>
    <n v="6.3809622724794221E-2"/>
    <n v="4915"/>
  </r>
  <r>
    <s v="P021"/>
    <s v="Instagram"/>
    <s v="2025-01-04"/>
    <s v="Reel"/>
    <s v="Check out our latest reel on instagram!"/>
    <n v="4838"/>
    <n v="640"/>
    <n v="128"/>
    <n v="72570"/>
    <n v="72396"/>
    <n v="83"/>
    <s v="#LiveForNow"/>
    <x v="3"/>
    <s v="#LiveForNow"/>
    <m/>
    <m/>
    <n v="7.7249552156538517E-2"/>
    <n v="5606"/>
  </r>
  <r>
    <s v="P022"/>
    <s v="Facebook"/>
    <s v="2025-02-27"/>
    <s v="Text"/>
    <s v="Check out our latest text on facebook!"/>
    <n v="1570"/>
    <n v="187"/>
    <n v="260"/>
    <n v="25120"/>
    <n v="24613"/>
    <n v="133"/>
    <s v="#PepsiCoRefresh"/>
    <x v="3"/>
    <s v="#PepsiCoRefresh"/>
    <m/>
    <m/>
    <n v="8.0294585987261149E-2"/>
    <n v="2017"/>
  </r>
  <r>
    <s v="P023"/>
    <s v="Facebook"/>
    <s v="2024-11-06"/>
    <s v="Video"/>
    <s v="Check out our latest video on facebook!"/>
    <n v="1606"/>
    <n v="547"/>
    <n v="316"/>
    <n v="32120"/>
    <n v="31736"/>
    <n v="225"/>
    <s v="#PepsiCoRefresh,#AnytimeIsPepsiTime"/>
    <x v="1"/>
    <s v="#PepsiCoRefresh"/>
    <s v="#AnytimeIsPepsiTime"/>
    <m/>
    <n v="7.6867995018679955E-2"/>
    <n v="2469"/>
  </r>
  <r>
    <s v="P024"/>
    <s v="Facebook"/>
    <s v="2025-01-23"/>
    <s v="Video"/>
    <s v="Check out our latest video on facebook!"/>
    <n v="3961"/>
    <n v="761"/>
    <n v="131"/>
    <n v="67337"/>
    <n v="66615"/>
    <n v="161"/>
    <s v="#LiveForNow"/>
    <x v="2"/>
    <s v="#LiveForNow"/>
    <m/>
    <m/>
    <n v="7.2070332803659209E-2"/>
    <n v="4853"/>
  </r>
  <r>
    <s v="P025"/>
    <s v="Twitter"/>
    <s v="2025-04-10"/>
    <s v="Carousel"/>
    <s v="Check out our latest carousel on twitter!"/>
    <n v="3128"/>
    <n v="211"/>
    <n v="197"/>
    <n v="59432"/>
    <n v="59182"/>
    <n v="238"/>
    <s v="#ThirstyForMore"/>
    <x v="4"/>
    <s v="#ThirstyForMore"/>
    <m/>
    <m/>
    <n v="5.9496567505720827E-2"/>
    <n v="3536"/>
  </r>
  <r>
    <s v="P026"/>
    <s v="YouTube"/>
    <s v="2025-04-05"/>
    <s v="Reel"/>
    <s v="Check out our latest reel on youtube!"/>
    <n v="3009"/>
    <n v="413"/>
    <n v="358"/>
    <n v="42126"/>
    <n v="41309"/>
    <n v="211"/>
    <s v="#LiveForNow"/>
    <x v="1"/>
    <s v="#LiveForNow"/>
    <m/>
    <m/>
    <n v="8.9730807577268201E-2"/>
    <n v="3780"/>
  </r>
  <r>
    <s v="P027"/>
    <s v="YouTube"/>
    <s v="2024-09-17"/>
    <s v="Text"/>
    <s v="Check out our latest text on youtube!"/>
    <n v="2076"/>
    <n v="195"/>
    <n v="104"/>
    <n v="33216"/>
    <n v="32244"/>
    <n v="51"/>
    <s v="#LiveForNow"/>
    <x v="3"/>
    <s v="#LiveForNow"/>
    <m/>
    <m/>
    <n v="7.1501685934489398E-2"/>
    <n v="2375"/>
  </r>
  <r>
    <s v="P028"/>
    <s v="Instagram"/>
    <s v="2025-03-04"/>
    <s v="Video"/>
    <s v="Check out our latest video on instagram!"/>
    <n v="432"/>
    <n v="624"/>
    <n v="123"/>
    <n v="6912"/>
    <n v="6259"/>
    <n v="79"/>
    <s v="#LiveForNow"/>
    <x v="3"/>
    <s v="#LiveForNow"/>
    <m/>
    <m/>
    <n v="0.17057291666666666"/>
    <n v="1179"/>
  </r>
  <r>
    <s v="P029"/>
    <s v="Instagram"/>
    <s v="2025-01-31"/>
    <s v="Carousel"/>
    <s v="Check out our latest carousel on instagram!"/>
    <n v="2566"/>
    <n v="118"/>
    <n v="37"/>
    <n v="12830"/>
    <n v="12264"/>
    <n v="221"/>
    <s v="#LiveForNow"/>
    <x v="2"/>
    <s v="#LiveForNow"/>
    <m/>
    <m/>
    <n v="0.21208106001558846"/>
    <n v="2721"/>
  </r>
  <r>
    <s v="P030"/>
    <s v="Instagram"/>
    <s v="2025-02-25"/>
    <s v="Video"/>
    <s v="Check out our latest video on instagram!"/>
    <n v="3095"/>
    <n v="39"/>
    <n v="78"/>
    <n v="55710"/>
    <n v="54808"/>
    <n v="93"/>
    <s v="#ThirstyForMore"/>
    <x v="4"/>
    <s v="#ThirstyForMore"/>
    <m/>
    <m/>
    <n v="5.7655717106444085E-2"/>
    <n v="3212"/>
  </r>
  <r>
    <s v="P031"/>
    <s v="Instagram"/>
    <s v="2024-12-16"/>
    <s v="Text"/>
    <s v="Check out our latest text on instagram!"/>
    <n v="438"/>
    <n v="153"/>
    <n v="275"/>
    <n v="3066"/>
    <n v="2701"/>
    <n v="282"/>
    <s v="#PepsiCoRefresh"/>
    <x v="1"/>
    <s v="#PepsiCoRefresh"/>
    <m/>
    <m/>
    <n v="0.28245270711024134"/>
    <n v="866"/>
  </r>
  <r>
    <s v="P032"/>
    <s v="Twitter"/>
    <s v="2024-07-31"/>
    <s v="Carousel"/>
    <s v="Check out our latest carousel on twitter!"/>
    <n v="2278"/>
    <n v="10"/>
    <n v="321"/>
    <n v="13668"/>
    <n v="12676"/>
    <n v="275"/>
    <s v="#ThirstyForMore"/>
    <x v="0"/>
    <s v="#ThirstyForMore"/>
    <m/>
    <m/>
    <n v="0.19088381621305239"/>
    <n v="2609"/>
  </r>
  <r>
    <s v="P033"/>
    <s v="Facebook"/>
    <s v="2024-08-21"/>
    <s v="Image"/>
    <s v="Check out our latest image on facebook!"/>
    <n v="1407"/>
    <n v="400"/>
    <n v="351"/>
    <n v="16884"/>
    <n v="15954"/>
    <n v="113"/>
    <s v="#PepsiCoRefresh"/>
    <x v="0"/>
    <s v="#PepsiCoRefresh"/>
    <m/>
    <m/>
    <n v="0.12781331438047855"/>
    <n v="2158"/>
  </r>
  <r>
    <s v="P034"/>
    <s v="Facebook"/>
    <s v="2025-03-26"/>
    <s v="Text"/>
    <s v="Check out our latest text on facebook!"/>
    <n v="1652"/>
    <n v="89"/>
    <n v="357"/>
    <n v="29736"/>
    <n v="28771"/>
    <n v="215"/>
    <s v="#PepsiCoRefresh"/>
    <x v="2"/>
    <s v="#PepsiCoRefresh"/>
    <m/>
    <m/>
    <n v="7.055421038471886E-2"/>
    <n v="2098"/>
  </r>
  <r>
    <s v="P035"/>
    <s v="Instagram"/>
    <s v="2024-11-30"/>
    <s v="Video"/>
    <s v="Check out our latest video on instagram!"/>
    <n v="3775"/>
    <n v="16"/>
    <n v="239"/>
    <n v="33975"/>
    <n v="33310"/>
    <n v="271"/>
    <s v="#LiveForNow"/>
    <x v="1"/>
    <s v="#LiveForNow"/>
    <m/>
    <m/>
    <n v="0.11861662987490802"/>
    <n v="4030"/>
  </r>
  <r>
    <s v="P036"/>
    <s v="Instagram"/>
    <s v="2025-04-19"/>
    <s v="Story"/>
    <s v="Check out our latest story on instagram!"/>
    <n v="4518"/>
    <n v="285"/>
    <n v="383"/>
    <n v="67770"/>
    <n v="67621"/>
    <n v="31"/>
    <s v="#ThirstyForMore"/>
    <x v="1"/>
    <s v="#ThirstyForMore"/>
    <m/>
    <m/>
    <n v="7.6523535487678915E-2"/>
    <n v="5186"/>
  </r>
  <r>
    <s v="P037"/>
    <s v="Facebook"/>
    <s v="2025-01-06"/>
    <s v="Carousel"/>
    <s v="Check out our latest carousel on facebook!"/>
    <n v="3024"/>
    <n v="925"/>
    <n v="350"/>
    <n v="24192"/>
    <n v="23518"/>
    <n v="36"/>
    <s v="#ThirstyForMore"/>
    <x v="1"/>
    <s v="#ThirstyForMore"/>
    <m/>
    <m/>
    <n v="0.17770337301587302"/>
    <n v="4299"/>
  </r>
  <r>
    <s v="P038"/>
    <s v="YouTube"/>
    <s v="2025-02-17"/>
    <s v="Reel"/>
    <s v="Check out our latest reel on youtube!"/>
    <n v="3138"/>
    <n v="123"/>
    <n v="291"/>
    <n v="28242"/>
    <n v="27550"/>
    <n v="87"/>
    <s v="#PepsiCoRefresh"/>
    <x v="3"/>
    <s v="#PepsiCoRefresh"/>
    <m/>
    <m/>
    <n v="0.12577012959422137"/>
    <n v="3552"/>
  </r>
  <r>
    <s v="P039"/>
    <s v="Facebook"/>
    <s v="2024-11-25"/>
    <s v="Image"/>
    <s v="Check out our latest image on facebook!"/>
    <n v="3564"/>
    <n v="629"/>
    <n v="177"/>
    <n v="60588"/>
    <n v="59627"/>
    <n v="92"/>
    <s v="#PepsiCoRefresh"/>
    <x v="4"/>
    <s v="#PepsiCoRefresh"/>
    <m/>
    <m/>
    <n v="7.2126493695121141E-2"/>
    <n v="4370"/>
  </r>
  <r>
    <s v="P040"/>
    <s v="Twitter"/>
    <s v="2025-03-07"/>
    <s v="Image"/>
    <s v="Check out our latest image on twitter!"/>
    <n v="4750"/>
    <n v="151"/>
    <n v="415"/>
    <n v="38000"/>
    <n v="37792"/>
    <n v="299"/>
    <s v="#ThirstyForMore"/>
    <x v="3"/>
    <s v="#ThirstyForMore"/>
    <m/>
    <m/>
    <n v="0.13989473684210527"/>
    <n v="5316"/>
  </r>
  <r>
    <s v="P041"/>
    <s v="Instagram"/>
    <s v="2025-03-08"/>
    <s v="Reel"/>
    <s v="Check out our latest reel on instagram!"/>
    <n v="456"/>
    <n v="629"/>
    <n v="428"/>
    <n v="8208"/>
    <n v="7377"/>
    <n v="205"/>
    <s v="#LiveForNow"/>
    <x v="3"/>
    <s v="#LiveForNow"/>
    <m/>
    <m/>
    <n v="0.18433235867446393"/>
    <n v="1513"/>
  </r>
  <r>
    <s v="P042"/>
    <s v="YouTube"/>
    <s v="2025-03-05"/>
    <s v="Reel"/>
    <s v="Check out our latest reel on youtube!"/>
    <n v="1543"/>
    <n v="820"/>
    <n v="333"/>
    <n v="12344"/>
    <n v="11496"/>
    <n v="241"/>
    <s v="#ThirstyForMore"/>
    <x v="4"/>
    <s v="#ThirstyForMore"/>
    <m/>
    <m/>
    <n v="0.21840570317563188"/>
    <n v="2696"/>
  </r>
  <r>
    <s v="P043"/>
    <s v="Instagram"/>
    <s v="2024-12-14"/>
    <s v="Carousel"/>
    <s v="Check out our latest carousel on instagram!"/>
    <n v="2174"/>
    <n v="658"/>
    <n v="15"/>
    <n v="13044"/>
    <n v="12206"/>
    <n v="137"/>
    <s v="#PepsiCoRefresh"/>
    <x v="2"/>
    <s v="#PepsiCoRefresh"/>
    <m/>
    <m/>
    <n v="0.21826126954921804"/>
    <n v="2847"/>
  </r>
  <r>
    <s v="P044"/>
    <s v="Twitter"/>
    <s v="2025-03-02"/>
    <s v="Image"/>
    <s v="Check out our latest image on twitter!"/>
    <n v="2358"/>
    <n v="784"/>
    <n v="344"/>
    <n v="35370"/>
    <n v="34475"/>
    <n v="216"/>
    <s v="#PepsiCoRefresh"/>
    <x v="4"/>
    <s v="#PepsiCoRefresh"/>
    <m/>
    <m/>
    <n v="9.8558100084817649E-2"/>
    <n v="3486"/>
  </r>
  <r>
    <s v="P045"/>
    <s v="Facebook"/>
    <s v="2024-11-01"/>
    <s v="Video"/>
    <s v="Check out our latest video on facebook!"/>
    <n v="3371"/>
    <n v="106"/>
    <n v="327"/>
    <n v="50565"/>
    <n v="49816"/>
    <n v="176"/>
    <s v="#LiveForNow"/>
    <x v="0"/>
    <s v="#LiveForNow"/>
    <m/>
    <m/>
    <n v="7.5229902106199939E-2"/>
    <n v="3804"/>
  </r>
  <r>
    <s v="P046"/>
    <s v="Twitter"/>
    <s v="2025-05-02"/>
    <s v="Video"/>
    <s v="Check out our latest video on twitter!"/>
    <n v="1108"/>
    <n v="177"/>
    <n v="212"/>
    <n v="8864"/>
    <n v="8710"/>
    <n v="97"/>
    <s v="#PepsiCoRefresh"/>
    <x v="3"/>
    <s v="#PepsiCoRefresh"/>
    <m/>
    <m/>
    <n v="0.16888537906137185"/>
    <n v="1497"/>
  </r>
  <r>
    <s v="P047"/>
    <s v="Twitter"/>
    <s v="2025-02-24"/>
    <s v="Carousel"/>
    <s v="Check out our latest carousel on twitter!"/>
    <n v="2704"/>
    <n v="752"/>
    <n v="153"/>
    <n v="21632"/>
    <n v="20792"/>
    <n v="127"/>
    <s v="#LiveForNow"/>
    <x v="4"/>
    <s v="#LiveForNow"/>
    <m/>
    <m/>
    <n v="0.16683616863905326"/>
    <n v="3609"/>
  </r>
  <r>
    <s v="P048"/>
    <s v="Twitter"/>
    <s v="2025-03-11"/>
    <s v="Story"/>
    <s v="Check out our latest story on twitter!"/>
    <n v="1950"/>
    <n v="295"/>
    <n v="478"/>
    <n v="37050"/>
    <n v="36272"/>
    <n v="119"/>
    <s v="#PepsiCoRefresh"/>
    <x v="4"/>
    <s v="#PepsiCoRefresh"/>
    <m/>
    <m/>
    <n v="7.349527665317139E-2"/>
    <n v="2723"/>
  </r>
  <r>
    <s v="P049"/>
    <s v="Twitter"/>
    <s v="2024-06-10"/>
    <s v="Story"/>
    <s v="Check out our latest story on twitter!"/>
    <n v="2164"/>
    <n v="549"/>
    <n v="274"/>
    <n v="28132"/>
    <n v="27361"/>
    <n v="177"/>
    <s v="#PepsiCoRefresh"/>
    <x v="3"/>
    <s v="#PepsiCoRefresh"/>
    <m/>
    <m/>
    <n v="0.10617801791554102"/>
    <n v="2987"/>
  </r>
  <r>
    <s v="P050"/>
    <s v="YouTube"/>
    <s v="2024-07-03"/>
    <s v="Story"/>
    <s v="Check out our latest story on youtube!"/>
    <n v="2754"/>
    <n v="130"/>
    <n v="90"/>
    <n v="22032"/>
    <n v="21288"/>
    <n v="112"/>
    <s v="#PepsiCoRefresh"/>
    <x v="2"/>
    <s v="#PepsiCoRefresh"/>
    <m/>
    <m/>
    <n v="0.13498547567175018"/>
    <n v="2974"/>
  </r>
  <r>
    <s v="P051"/>
    <s v="Facebook"/>
    <s v="2024-06-13"/>
    <s v="Carousel"/>
    <s v="Check out our latest carousel on facebook!"/>
    <n v="2200"/>
    <n v="504"/>
    <n v="239"/>
    <n v="37400"/>
    <n v="36938"/>
    <n v="225"/>
    <s v="#LiveForNow"/>
    <x v="1"/>
    <s v="#LiveForNow"/>
    <m/>
    <m/>
    <n v="7.8689839572192513E-2"/>
    <n v="2943"/>
  </r>
  <r>
    <s v="P052"/>
    <s v="Facebook"/>
    <s v="2025-01-03"/>
    <s v="Image"/>
    <s v="Check out our latest image on facebook!"/>
    <n v="947"/>
    <n v="338"/>
    <n v="350"/>
    <n v="10417"/>
    <n v="9730"/>
    <n v="34"/>
    <s v="#PepsiCoRefresh"/>
    <x v="3"/>
    <s v="#PepsiCoRefresh"/>
    <m/>
    <m/>
    <n v="0.1569549774407219"/>
    <n v="1635"/>
  </r>
  <r>
    <s v="P053"/>
    <s v="YouTube"/>
    <s v="2025-02-24"/>
    <s v="Carousel"/>
    <s v="Check out our latest carousel on youtube!"/>
    <n v="804"/>
    <n v="639"/>
    <n v="43"/>
    <n v="4020"/>
    <n v="3144"/>
    <n v="11"/>
    <s v="#ThirstyForMore,#BetterWithPepsi"/>
    <x v="4"/>
    <s v="#ThirstyForMore"/>
    <s v="#BetterWithPepsi"/>
    <m/>
    <n v="0.36965174129353234"/>
    <n v="1486"/>
  </r>
  <r>
    <s v="P054"/>
    <s v="YouTube"/>
    <s v="2025-03-13"/>
    <s v="Carousel"/>
    <s v="Check out our latest carousel on youtube!"/>
    <n v="1686"/>
    <n v="904"/>
    <n v="472"/>
    <n v="18546"/>
    <n v="18171"/>
    <n v="52"/>
    <s v="#LiveForNow"/>
    <x v="1"/>
    <s v="#LiveForNow"/>
    <m/>
    <m/>
    <n v="0.16510298716704411"/>
    <n v="3062"/>
  </r>
  <r>
    <s v="P055"/>
    <s v="Facebook"/>
    <s v="2024-06-17"/>
    <s v="Image"/>
    <s v="Check out our latest image on facebook!"/>
    <n v="1226"/>
    <n v="119"/>
    <n v="7"/>
    <n v="14712"/>
    <n v="14049"/>
    <n v="123"/>
    <s v="#ThirstyForMore"/>
    <x v="3"/>
    <s v="#ThirstyForMore"/>
    <m/>
    <m/>
    <n v="9.1897770527460579E-2"/>
    <n v="1352"/>
  </r>
  <r>
    <s v="P056"/>
    <s v="Facebook"/>
    <s v="2024-12-18"/>
    <s v="Carousel"/>
    <s v="Check out our latest carousel on facebook!"/>
    <n v="2946"/>
    <n v="498"/>
    <n v="367"/>
    <n v="29460"/>
    <n v="28527"/>
    <n v="60"/>
    <s v="#LiveForNow"/>
    <x v="2"/>
    <s v="#LiveForNow"/>
    <m/>
    <m/>
    <n v="0.12936184657162253"/>
    <n v="3811"/>
  </r>
  <r>
    <s v="P057"/>
    <s v="Twitter"/>
    <s v="2024-10-21"/>
    <s v="Video"/>
    <s v="Check out our latest video on twitter!"/>
    <n v="2825"/>
    <n v="535"/>
    <n v="295"/>
    <n v="45200"/>
    <n v="44739"/>
    <n v="169"/>
    <s v="#PepsiCoRefresh"/>
    <x v="0"/>
    <s v="#PepsiCoRefresh"/>
    <m/>
    <m/>
    <n v="8.0862831858407078E-2"/>
    <n v="3655"/>
  </r>
  <r>
    <s v="P058"/>
    <s v="Instagram"/>
    <s v="2025-04-15"/>
    <s v="Reel"/>
    <s v="Check out our latest reel on instagram!"/>
    <n v="103"/>
    <n v="770"/>
    <n v="19"/>
    <n v="1030"/>
    <n v="410"/>
    <n v="262"/>
    <s v="#PepsiCoRefresh"/>
    <x v="3"/>
    <s v="#PepsiCoRefresh"/>
    <m/>
    <m/>
    <n v="0.86601941747572819"/>
    <n v="892"/>
  </r>
  <r>
    <s v="P059"/>
    <s v="Instagram"/>
    <s v="2024-06-22"/>
    <s v="Text"/>
    <s v="Check out our latest text on instagram!"/>
    <n v="2180"/>
    <n v="263"/>
    <n v="387"/>
    <n v="30520"/>
    <n v="30059"/>
    <n v="174"/>
    <s v="#ThirstyForMore"/>
    <x v="4"/>
    <s v="#ThirstyForMore"/>
    <m/>
    <m/>
    <n v="9.2726081258191345E-2"/>
    <n v="2830"/>
  </r>
  <r>
    <s v="P060"/>
    <s v="Instagram"/>
    <s v="2025-01-28"/>
    <s v="Video"/>
    <s v="Check out our latest video on instagram!"/>
    <n v="904"/>
    <n v="973"/>
    <n v="63"/>
    <n v="11752"/>
    <n v="11580"/>
    <n v="84"/>
    <s v="#ThirstyForMore,#PepsiCoRefresh,#AnytimeIsPepsiTime"/>
    <x v="2"/>
    <s v="#ThirstyForMore"/>
    <s v="#PepsiCoRefresh"/>
    <s v="#AnytimeIsPepsiTime"/>
    <n v="0.1650782845473111"/>
    <n v="1940"/>
  </r>
  <r>
    <s v="P061"/>
    <s v="Twitter"/>
    <s v="2024-09-05"/>
    <s v="Video"/>
    <s v="Check out our latest video on twitter!"/>
    <n v="4886"/>
    <n v="983"/>
    <n v="409"/>
    <n v="43974"/>
    <n v="43239"/>
    <n v="65"/>
    <s v="#PepsiCoRefresh"/>
    <x v="0"/>
    <s v="#PepsiCoRefresh"/>
    <m/>
    <m/>
    <n v="0.14276618001546368"/>
    <n v="6278"/>
  </r>
  <r>
    <s v="P062"/>
    <s v="Twitter"/>
    <s v="2024-11-22"/>
    <s v="Carousel"/>
    <s v="Check out our latest carousel on twitter!"/>
    <n v="53"/>
    <n v="81"/>
    <n v="379"/>
    <n v="954"/>
    <n v="7"/>
    <n v="148"/>
    <s v="#PepsiCoRefresh"/>
    <x v="2"/>
    <s v="#PepsiCoRefresh"/>
    <m/>
    <m/>
    <n v="0.53773584905660377"/>
    <n v="513"/>
  </r>
  <r>
    <s v="P063"/>
    <s v="Twitter"/>
    <s v="2024-07-31"/>
    <s v="Carousel"/>
    <s v="Check out our latest carousel on twitter!"/>
    <n v="4507"/>
    <n v="217"/>
    <n v="13"/>
    <n v="90140"/>
    <n v="89591"/>
    <n v="125"/>
    <s v="#LiveForNow"/>
    <x v="2"/>
    <s v="#LiveForNow"/>
    <m/>
    <m/>
    <n v="5.2551586421122697E-2"/>
    <n v="4737"/>
  </r>
  <r>
    <s v="P064"/>
    <s v="Facebook"/>
    <s v="2024-08-17"/>
    <s v="Image"/>
    <s v="Check out our latest image on facebook!"/>
    <n v="2878"/>
    <n v="248"/>
    <n v="416"/>
    <n v="43170"/>
    <n v="42667"/>
    <n v="75"/>
    <s v="#LiveForNow"/>
    <x v="2"/>
    <s v="#LiveForNow"/>
    <m/>
    <m/>
    <n v="8.2047718322909427E-2"/>
    <n v="3542"/>
  </r>
  <r>
    <s v="P065"/>
    <s v="Instagram"/>
    <s v="2025-03-28"/>
    <s v="Story"/>
    <s v="Check out our latest story on instagram!"/>
    <n v="1881"/>
    <n v="501"/>
    <n v="99"/>
    <n v="20691"/>
    <n v="19987"/>
    <n v="289"/>
    <s v="#ThirstyForMore"/>
    <x v="4"/>
    <s v="#ThirstyForMore"/>
    <m/>
    <m/>
    <n v="0.11990720603160794"/>
    <n v="2481"/>
  </r>
  <r>
    <s v="P066"/>
    <s v="Twitter"/>
    <s v="2024-07-26"/>
    <s v="Carousel"/>
    <s v="Check out our latest carousel on twitter!"/>
    <n v="432"/>
    <n v="171"/>
    <n v="280"/>
    <n v="3024"/>
    <n v="2285"/>
    <n v="184"/>
    <s v="#ThirstyForMore"/>
    <x v="0"/>
    <s v="#ThirstyForMore"/>
    <m/>
    <m/>
    <n v="0.29199735449735448"/>
    <n v="883"/>
  </r>
  <r>
    <s v="P067"/>
    <s v="Facebook"/>
    <s v="2025-03-29"/>
    <s v="Carousel"/>
    <s v="Check out our latest carousel on facebook!"/>
    <n v="4712"/>
    <n v="568"/>
    <n v="127"/>
    <n v="84816"/>
    <n v="84691"/>
    <n v="100"/>
    <s v="#ThirstyForMore"/>
    <x v="2"/>
    <s v="#ThirstyForMore"/>
    <m/>
    <m/>
    <n v="6.3749764195434822E-2"/>
    <n v="5407"/>
  </r>
  <r>
    <s v="P068"/>
    <s v="Instagram"/>
    <s v="2024-12-08"/>
    <s v="Story"/>
    <s v="Check out our latest story on instagram!"/>
    <n v="2610"/>
    <n v="126"/>
    <n v="288"/>
    <n v="15660"/>
    <n v="15145"/>
    <n v="73"/>
    <s v="#ThirstyForMore"/>
    <x v="4"/>
    <s v="#ThirstyForMore"/>
    <m/>
    <m/>
    <n v="0.19310344827586207"/>
    <n v="3024"/>
  </r>
  <r>
    <s v="P069"/>
    <s v="Twitter"/>
    <s v="2025-03-08"/>
    <s v="Text"/>
    <s v="Check out our latest text on twitter!"/>
    <n v="1292"/>
    <n v="626"/>
    <n v="496"/>
    <n v="25840"/>
    <n v="24916"/>
    <n v="149"/>
    <s v="#LiveForNow"/>
    <x v="2"/>
    <s v="#LiveForNow"/>
    <m/>
    <m/>
    <n v="9.3421052631578946E-2"/>
    <n v="2414"/>
  </r>
  <r>
    <s v="P070"/>
    <s v="Facebook"/>
    <s v="2025-04-02"/>
    <s v="Video"/>
    <s v="Check out our latest video on facebook!"/>
    <n v="199"/>
    <n v="772"/>
    <n v="400"/>
    <n v="3582"/>
    <n v="2988"/>
    <n v="43"/>
    <s v="#PepsiCoRefresh"/>
    <x v="4"/>
    <s v="#PepsiCoRefresh"/>
    <m/>
    <m/>
    <n v="0.38274706867671693"/>
    <n v="1371"/>
  </r>
  <r>
    <s v="P071"/>
    <s v="YouTube"/>
    <s v="2024-09-02"/>
    <s v="Carousel"/>
    <s v="Check out our latest carousel on youtube!"/>
    <n v="2551"/>
    <n v="915"/>
    <n v="205"/>
    <n v="30612"/>
    <n v="30360"/>
    <n v="227"/>
    <s v="#PepsiCoRefresh"/>
    <x v="1"/>
    <s v="#PepsiCoRefresh"/>
    <m/>
    <m/>
    <n v="0.1199202926956749"/>
    <n v="3671"/>
  </r>
  <r>
    <s v="P072"/>
    <s v="YouTube"/>
    <s v="2025-03-03"/>
    <s v="Reel"/>
    <s v="Check out our latest reel on youtube!"/>
    <n v="296"/>
    <n v="60"/>
    <n v="141"/>
    <n v="5624"/>
    <n v="5239"/>
    <n v="88"/>
    <s v="#ThirstyForMore"/>
    <x v="1"/>
    <s v="#ThirstyForMore"/>
    <m/>
    <m/>
    <n v="8.837126600284495E-2"/>
    <n v="497"/>
  </r>
  <r>
    <s v="P073"/>
    <s v="Facebook"/>
    <s v="2024-10-18"/>
    <s v="Story"/>
    <s v="Check out our latest story on facebook!"/>
    <n v="4126"/>
    <n v="426"/>
    <n v="486"/>
    <n v="78394"/>
    <n v="77798"/>
    <n v="88"/>
    <s v="#LiveForNow"/>
    <x v="3"/>
    <s v="#LiveForNow"/>
    <m/>
    <m/>
    <n v="6.4265122330790625E-2"/>
    <n v="5038"/>
  </r>
  <r>
    <s v="P074"/>
    <s v="YouTube"/>
    <s v="2024-10-28"/>
    <s v="Reel"/>
    <s v="Check out our latest reel on youtube!"/>
    <n v="1855"/>
    <n v="200"/>
    <n v="174"/>
    <n v="16695"/>
    <n v="16330"/>
    <n v="123"/>
    <s v="#PepsiCoRefresh"/>
    <x v="2"/>
    <s v="#PepsiCoRefresh"/>
    <m/>
    <m/>
    <n v="0.13351302785265048"/>
    <n v="2229"/>
  </r>
  <r>
    <s v="P075"/>
    <s v="Instagram"/>
    <s v="2024-08-01"/>
    <s v="Reel"/>
    <s v="Check out our latest reel on instagram!"/>
    <n v="1674"/>
    <n v="929"/>
    <n v="37"/>
    <n v="21762"/>
    <n v="20998"/>
    <n v="255"/>
    <s v="#PepsiCoRefresh"/>
    <x v="3"/>
    <s v="#PepsiCoRefresh"/>
    <m/>
    <m/>
    <n v="0.12131237937689551"/>
    <n v="2640"/>
  </r>
  <r>
    <s v="P076"/>
    <s v="Twitter"/>
    <s v="2024-11-07"/>
    <s v="Story"/>
    <s v="Check out our latest story on twitter!"/>
    <n v="1121"/>
    <n v="135"/>
    <n v="18"/>
    <n v="15694"/>
    <n v="14957"/>
    <n v="99"/>
    <s v="#PepsiCoRefresh"/>
    <x v="3"/>
    <s v="#PepsiCoRefresh"/>
    <m/>
    <m/>
    <n v="8.1177520071364848E-2"/>
    <n v="1274"/>
  </r>
  <r>
    <s v="P077"/>
    <s v="Facebook"/>
    <s v="2025-03-04"/>
    <s v="Story"/>
    <s v="Check out our latest story on facebook!"/>
    <n v="1249"/>
    <n v="116"/>
    <n v="420"/>
    <n v="8743"/>
    <n v="8538"/>
    <n v="63"/>
    <s v="#PepsiCoRefresh"/>
    <x v="4"/>
    <s v="#PepsiCoRefresh"/>
    <m/>
    <m/>
    <n v="0.20416333066453163"/>
    <n v="1785"/>
  </r>
  <r>
    <s v="P078"/>
    <s v="Twitter"/>
    <s v="2024-06-17"/>
    <s v="Image"/>
    <s v="Check out our latest image on twitter!"/>
    <n v="954"/>
    <n v="324"/>
    <n v="288"/>
    <n v="19080"/>
    <n v="18859"/>
    <n v="21"/>
    <s v="#LiveForNow"/>
    <x v="3"/>
    <s v="#LiveForNow"/>
    <m/>
    <m/>
    <n v="8.2075471698113203E-2"/>
    <n v="1566"/>
  </r>
  <r>
    <s v="P079"/>
    <s v="Instagram"/>
    <s v="2024-10-09"/>
    <s v="Carousel"/>
    <s v="Check out our latest carousel on instagram!"/>
    <n v="3068"/>
    <n v="137"/>
    <n v="329"/>
    <n v="39884"/>
    <n v="39404"/>
    <n v="266"/>
    <s v="#ThirstyForMore"/>
    <x v="1"/>
    <s v="#ThirstyForMore"/>
    <m/>
    <m/>
    <n v="8.860696018453515E-2"/>
    <n v="3534"/>
  </r>
  <r>
    <s v="P080"/>
    <s v="Instagram"/>
    <s v="2024-06-13"/>
    <s v="Story"/>
    <s v="Check out our latest story on instagram!"/>
    <n v="2103"/>
    <n v="892"/>
    <n v="103"/>
    <n v="39957"/>
    <n v="39466"/>
    <n v="28"/>
    <s v="#LiveForNow"/>
    <x v="4"/>
    <s v="#LiveForNow"/>
    <m/>
    <m/>
    <n v="7.7533348349475686E-2"/>
    <n v="3098"/>
  </r>
  <r>
    <s v="P081"/>
    <s v="Instagram"/>
    <s v="2024-10-19"/>
    <s v="Story"/>
    <s v="Check out our latest story on instagram!"/>
    <n v="1816"/>
    <n v="29"/>
    <n v="41"/>
    <n v="19976"/>
    <n v="19262"/>
    <n v="283"/>
    <s v="#PepsiCoRefresh"/>
    <x v="2"/>
    <s v="#PepsiCoRefresh"/>
    <m/>
    <m/>
    <n v="9.4413295955146179E-2"/>
    <n v="1886"/>
  </r>
  <r>
    <s v="P082"/>
    <s v="Instagram"/>
    <s v="2024-07-24"/>
    <s v="Image"/>
    <s v="Check out our latest image on instagram!"/>
    <n v="725"/>
    <n v="88"/>
    <n v="428"/>
    <n v="14500"/>
    <n v="13637"/>
    <n v="200"/>
    <s v="#LiveForNow,#PepsiCoRefresh,#AnytimeIsPepsiTime"/>
    <x v="2"/>
    <s v="#LiveForNow"/>
    <s v="#PepsiCoRefresh"/>
    <s v="#AnytimeIsPepsiTime"/>
    <n v="8.558620689655172E-2"/>
    <n v="1241"/>
  </r>
  <r>
    <s v="P083"/>
    <s v="YouTube"/>
    <s v="2024-10-15"/>
    <s v="Video"/>
    <s v="Check out our latest video on youtube!"/>
    <n v="1094"/>
    <n v="472"/>
    <n v="21"/>
    <n v="9846"/>
    <n v="9609"/>
    <n v="112"/>
    <s v="#ThirstyForMore"/>
    <x v="4"/>
    <s v="#ThirstyForMore"/>
    <m/>
    <m/>
    <n v="0.16118220597196831"/>
    <n v="1587"/>
  </r>
  <r>
    <s v="P084"/>
    <s v="Facebook"/>
    <s v="2024-12-09"/>
    <s v="Image"/>
    <s v="Check out our latest image on facebook!"/>
    <n v="1841"/>
    <n v="851"/>
    <n v="342"/>
    <n v="34979"/>
    <n v="34154"/>
    <n v="255"/>
    <s v="#LiveForNow"/>
    <x v="3"/>
    <s v="#LiveForNow"/>
    <m/>
    <m/>
    <n v="8.6737756939878216E-2"/>
    <n v="3034"/>
  </r>
  <r>
    <s v="P085"/>
    <s v="Instagram"/>
    <s v="2025-04-19"/>
    <s v="Image"/>
    <s v="Check out our latest image on instagram!"/>
    <n v="4177"/>
    <n v="569"/>
    <n v="55"/>
    <n v="25062"/>
    <n v="24847"/>
    <n v="230"/>
    <s v="#LiveForNow"/>
    <x v="0"/>
    <s v="#LiveForNow"/>
    <m/>
    <m/>
    <n v="0.19156491900087783"/>
    <n v="4801"/>
  </r>
  <r>
    <s v="P086"/>
    <s v="YouTube"/>
    <s v="2025-01-27"/>
    <s v="Text"/>
    <s v="Check out our latest text on youtube!"/>
    <n v="3428"/>
    <n v="305"/>
    <n v="85"/>
    <n v="58276"/>
    <n v="58052"/>
    <n v="242"/>
    <s v="#ThirstyForMore,#BetterWithPepsi"/>
    <x v="3"/>
    <s v="#ThirstyForMore"/>
    <s v="#BetterWithPepsi"/>
    <m/>
    <n v="6.5515821264328367E-2"/>
    <n v="3818"/>
  </r>
  <r>
    <s v="P087"/>
    <s v="Twitter"/>
    <s v="2024-06-06"/>
    <s v="Video"/>
    <s v="Check out our latest video on twitter!"/>
    <n v="1436"/>
    <n v="765"/>
    <n v="496"/>
    <n v="12924"/>
    <n v="12701"/>
    <n v="197"/>
    <s v="#LiveForNow"/>
    <x v="2"/>
    <s v="#LiveForNow"/>
    <m/>
    <m/>
    <n v="0.20868152274837512"/>
    <n v="2697"/>
  </r>
  <r>
    <s v="P088"/>
    <s v="Facebook"/>
    <s v="2024-07-07"/>
    <s v="Story"/>
    <s v="Check out our latest story on facebook!"/>
    <n v="302"/>
    <n v="47"/>
    <n v="430"/>
    <n v="5738"/>
    <n v="4890"/>
    <n v="25"/>
    <s v="#PepsiCoRefresh"/>
    <x v="3"/>
    <s v="#PepsiCoRefresh"/>
    <m/>
    <m/>
    <n v="0.13576158940397351"/>
    <n v="779"/>
  </r>
  <r>
    <s v="P089"/>
    <s v="Twitter"/>
    <s v="2025-01-10"/>
    <s v="Image"/>
    <s v="Check out our latest image on twitter!"/>
    <n v="2214"/>
    <n v="249"/>
    <n v="152"/>
    <n v="15498"/>
    <n v="14800"/>
    <n v="180"/>
    <s v="#ThirstyForMore"/>
    <x v="4"/>
    <s v="#ThirstyForMore"/>
    <m/>
    <m/>
    <n v="0.16873144921925409"/>
    <n v="2615"/>
  </r>
  <r>
    <s v="P090"/>
    <s v="Instagram"/>
    <s v="2024-06-03"/>
    <s v="Image"/>
    <s v="Check out our latest image on instagram!"/>
    <n v="3861"/>
    <n v="960"/>
    <n v="101"/>
    <n v="69498"/>
    <n v="68817"/>
    <n v="297"/>
    <s v="#PepsiCoRefresh"/>
    <x v="3"/>
    <s v="#PepsiCoRefresh"/>
    <m/>
    <m/>
    <n v="7.0822181933293038E-2"/>
    <n v="4922"/>
  </r>
  <r>
    <s v="P091"/>
    <s v="Facebook"/>
    <s v="2025-03-24"/>
    <s v="Image"/>
    <s v="Check out our latest image on facebook!"/>
    <n v="1263"/>
    <n v="397"/>
    <n v="357"/>
    <n v="25260"/>
    <n v="24615"/>
    <n v="137"/>
    <s v="#ThirstyForMore"/>
    <x v="3"/>
    <s v="#ThirstyForMore"/>
    <m/>
    <m/>
    <n v="7.984956452889945E-2"/>
    <n v="2017"/>
  </r>
  <r>
    <s v="P092"/>
    <s v="Twitter"/>
    <s v="2024-10-21"/>
    <s v="Story"/>
    <s v="Check out our latest story on twitter!"/>
    <n v="3801"/>
    <n v="967"/>
    <n v="401"/>
    <n v="38010"/>
    <n v="37625"/>
    <n v="236"/>
    <s v="#LiveForNow"/>
    <x v="2"/>
    <s v="#LiveForNow"/>
    <m/>
    <m/>
    <n v="0.13599052880820836"/>
    <n v="5169"/>
  </r>
  <r>
    <s v="P093"/>
    <s v="Instagram"/>
    <s v="2024-12-11"/>
    <s v="Video"/>
    <s v="Check out our latest video on instagram!"/>
    <n v="1431"/>
    <n v="951"/>
    <n v="26"/>
    <n v="8586"/>
    <n v="8396"/>
    <n v="150"/>
    <s v="#ThirstyForMore"/>
    <x v="2"/>
    <s v="#ThirstyForMore"/>
    <m/>
    <m/>
    <n v="0.28045655718611695"/>
    <n v="2408"/>
  </r>
  <r>
    <s v="P094"/>
    <s v="Instagram"/>
    <s v="2024-11-07"/>
    <s v="Image"/>
    <s v="Check out our latest image on instagram!"/>
    <n v="2647"/>
    <n v="304"/>
    <n v="170"/>
    <n v="18529"/>
    <n v="17841"/>
    <n v="46"/>
    <s v="#LiveForNow"/>
    <x v="2"/>
    <s v="#LiveForNow"/>
    <m/>
    <m/>
    <n v="0.16843866371633656"/>
    <n v="3121"/>
  </r>
  <r>
    <s v="P095"/>
    <s v="Instagram"/>
    <s v="2024-11-08"/>
    <s v="Text"/>
    <s v="Check out our latest text on instagram!"/>
    <n v="3182"/>
    <n v="559"/>
    <n v="160"/>
    <n v="57276"/>
    <n v="56890"/>
    <n v="163"/>
    <s v="#LiveForNow"/>
    <x v="3"/>
    <s v="#LiveForNow"/>
    <m/>
    <m/>
    <n v="6.8108806480899509E-2"/>
    <n v="3901"/>
  </r>
  <r>
    <s v="P096"/>
    <s v="Twitter"/>
    <s v="2024-09-10"/>
    <s v="Image"/>
    <s v="Check out our latest image on twitter!"/>
    <n v="1238"/>
    <n v="366"/>
    <n v="444"/>
    <n v="19808"/>
    <n v="19334"/>
    <n v="123"/>
    <s v="#LiveForNow"/>
    <x v="4"/>
    <s v="#LiveForNow"/>
    <m/>
    <m/>
    <n v="0.10339256865912763"/>
    <n v="2048"/>
  </r>
  <r>
    <s v="P097"/>
    <s v="Instagram"/>
    <s v="2024-08-13"/>
    <s v="Image"/>
    <s v="Check out our latest image on instagram!"/>
    <n v="4739"/>
    <n v="527"/>
    <n v="135"/>
    <n v="61607"/>
    <n v="61333"/>
    <n v="36"/>
    <s v="#PepsiCoRefresh,#AnytimeIsPepsiTime"/>
    <x v="1"/>
    <s v="#PepsiCoRefresh"/>
    <s v="#AnytimeIsPepsiTime"/>
    <m/>
    <n v="8.7668609086629767E-2"/>
    <n v="5401"/>
  </r>
  <r>
    <s v="P099"/>
    <s v="YouTube"/>
    <s v="2024-07-02"/>
    <s v="Carousel"/>
    <s v="Check out our latest carousel on youtube!"/>
    <n v="4171"/>
    <n v="548"/>
    <n v="86"/>
    <n v="66736"/>
    <n v="66634"/>
    <n v="173"/>
    <s v="#LiveForNow"/>
    <x v="2"/>
    <s v="#LiveForNow"/>
    <m/>
    <m/>
    <n v="7.2000119875329657E-2"/>
    <n v="4805"/>
  </r>
  <r>
    <s v="P100"/>
    <s v="YouTube"/>
    <s v="2025-02-10"/>
    <s v="Video"/>
    <s v="Check out our latest video on youtube!"/>
    <n v="1766"/>
    <n v="92"/>
    <n v="424"/>
    <n v="24724"/>
    <n v="24333"/>
    <n v="52"/>
    <s v="#ThirstyForMore"/>
    <x v="4"/>
    <s v="#ThirstyForMore"/>
    <m/>
    <m/>
    <n v="9.2298980747451867E-2"/>
    <n v="2282"/>
  </r>
  <r>
    <s v="P101"/>
    <s v="YouTube"/>
    <s v="2024-10-18"/>
    <s v="Video"/>
    <s v="Check out our latest video on youtube!"/>
    <n v="4450"/>
    <n v="983"/>
    <n v="143"/>
    <n v="75650"/>
    <n v="75008"/>
    <n v="12"/>
    <s v="#LiveForNow"/>
    <x v="2"/>
    <s v="#LiveForNow"/>
    <m/>
    <m/>
    <n v="7.3707865168539333E-2"/>
    <n v="5576"/>
  </r>
  <r>
    <s v="P102"/>
    <s v="Twitter"/>
    <s v="2024-09-18"/>
    <s v="Reel"/>
    <s v="Check out our latest reel on twitter!"/>
    <n v="1000"/>
    <n v="978"/>
    <n v="162"/>
    <n v="6000"/>
    <n v="5221"/>
    <n v="223"/>
    <s v="#ThirstyForMore"/>
    <x v="1"/>
    <s v="#ThirstyForMore"/>
    <m/>
    <m/>
    <n v="0.35666666666666669"/>
    <n v="2140"/>
  </r>
  <r>
    <s v="P103"/>
    <s v="Facebook"/>
    <s v="2024-06-11"/>
    <s v="Image"/>
    <s v="Check out our latest image on facebook!"/>
    <n v="3689"/>
    <n v="48"/>
    <n v="306"/>
    <n v="40579"/>
    <n v="39588"/>
    <n v="212"/>
    <s v="#ThirstyForMore"/>
    <x v="1"/>
    <s v="#ThirstyForMore"/>
    <m/>
    <m/>
    <n v="9.9632815002833983E-2"/>
    <n v="4043"/>
  </r>
  <r>
    <s v="P104"/>
    <s v="YouTube"/>
    <s v="2025-03-23"/>
    <s v="Story"/>
    <s v="Check out our latest story on youtube!"/>
    <n v="3655"/>
    <n v="568"/>
    <n v="286"/>
    <n v="32895"/>
    <n v="32015"/>
    <n v="199"/>
    <s v="#PepsiCoRefresh"/>
    <x v="2"/>
    <s v="#PepsiCoRefresh"/>
    <m/>
    <m/>
    <n v="0.13707250341997265"/>
    <n v="4509"/>
  </r>
  <r>
    <s v="P105"/>
    <s v="Instagram"/>
    <s v="2024-06-14"/>
    <s v="Carousel"/>
    <s v="Check out our latest carousel on instagram!"/>
    <n v="498"/>
    <n v="38"/>
    <n v="42"/>
    <n v="4482"/>
    <n v="3647"/>
    <n v="32"/>
    <s v="#LiveForNow"/>
    <x v="0"/>
    <s v="#LiveForNow"/>
    <m/>
    <m/>
    <n v="0.12896028558679162"/>
    <n v="578"/>
  </r>
  <r>
    <s v="P106"/>
    <s v="Instagram"/>
    <s v="2025-02-04"/>
    <s v="Image"/>
    <s v="Check out our latest image on instagram!"/>
    <n v="4619"/>
    <n v="821"/>
    <n v="499"/>
    <n v="69285"/>
    <n v="69141"/>
    <n v="298"/>
    <s v="#PepsiCoRefresh"/>
    <x v="3"/>
    <s v="#PepsiCoRefresh"/>
    <m/>
    <m/>
    <n v="8.5718409468138843E-2"/>
    <n v="5939"/>
  </r>
  <r>
    <s v="P107"/>
    <s v="YouTube"/>
    <s v="2024-06-21"/>
    <s v="Image"/>
    <s v="Check out our latest image on youtube!"/>
    <n v="4832"/>
    <n v="893"/>
    <n v="10"/>
    <n v="91808"/>
    <n v="91296"/>
    <n v="182"/>
    <s v="#PepsiCoRefresh"/>
    <x v="4"/>
    <s v="#PepsiCoRefresh"/>
    <m/>
    <m/>
    <n v="6.2467323109097243E-2"/>
    <n v="5735"/>
  </r>
  <r>
    <s v="P108"/>
    <s v="Twitter"/>
    <s v="2025-03-25"/>
    <s v="Video"/>
    <s v="Check out our latest video on twitter!"/>
    <n v="4050"/>
    <n v="871"/>
    <n v="347"/>
    <n v="52650"/>
    <n v="51755"/>
    <n v="209"/>
    <s v="#PepsiCoRefresh"/>
    <x v="1"/>
    <s v="#PepsiCoRefresh"/>
    <m/>
    <m/>
    <n v="0.10005698005698006"/>
    <n v="5268"/>
  </r>
  <r>
    <s v="P109"/>
    <s v="Twitter"/>
    <s v="2024-08-08"/>
    <s v="Story"/>
    <s v="Check out our latest story on twitter!"/>
    <n v="3649"/>
    <n v="215"/>
    <n v="413"/>
    <n v="25543"/>
    <n v="24963"/>
    <n v="167"/>
    <s v="#LiveForNow"/>
    <x v="2"/>
    <s v="#LiveForNow"/>
    <m/>
    <m/>
    <n v="0.16744313510550835"/>
    <n v="4277"/>
  </r>
  <r>
    <s v="P110"/>
    <s v="Instagram"/>
    <s v="2024-07-29"/>
    <s v="Reel"/>
    <s v="Check out our latest reel on instagram!"/>
    <n v="3523"/>
    <n v="753"/>
    <n v="482"/>
    <n v="38753"/>
    <n v="38579"/>
    <n v="270"/>
    <s v="#ThirstyForMore"/>
    <x v="1"/>
    <s v="#ThirstyForMore"/>
    <m/>
    <m/>
    <n v="0.12277759141227776"/>
    <n v="4758"/>
  </r>
  <r>
    <s v="P111"/>
    <s v="YouTube"/>
    <s v="2024-11-23"/>
    <s v="Image"/>
    <s v="Check out our latest image on youtube!"/>
    <n v="2719"/>
    <n v="17"/>
    <n v="285"/>
    <n v="40785"/>
    <n v="40281"/>
    <n v="40"/>
    <s v="#PepsiCoRefresh"/>
    <x v="1"/>
    <s v="#PepsiCoRefresh"/>
    <m/>
    <m/>
    <n v="7.4071349760941527E-2"/>
    <n v="3021"/>
  </r>
  <r>
    <s v="P112"/>
    <s v="Twitter"/>
    <s v="2024-10-05"/>
    <s v="Story"/>
    <s v="Check out our latest story on twitter!"/>
    <n v="1957"/>
    <n v="877"/>
    <n v="238"/>
    <n v="17613"/>
    <n v="16865"/>
    <n v="297"/>
    <s v="#LiveForNow"/>
    <x v="2"/>
    <s v="#LiveForNow"/>
    <m/>
    <m/>
    <n v="0.17441662408448305"/>
    <n v="3072"/>
  </r>
  <r>
    <s v="P113"/>
    <s v="Twitter"/>
    <s v="2024-10-02"/>
    <s v="Carousel"/>
    <s v="Check out our latest carousel on twitter!"/>
    <n v="4419"/>
    <n v="236"/>
    <n v="369"/>
    <n v="44190"/>
    <n v="43582"/>
    <n v="10"/>
    <s v="#ThirstyForMore"/>
    <x v="0"/>
    <s v="#ThirstyForMore"/>
    <m/>
    <m/>
    <n v="0.11369088028965829"/>
    <n v="5024"/>
  </r>
  <r>
    <s v="P114"/>
    <s v="Twitter"/>
    <s v="2024-11-14"/>
    <s v="Story"/>
    <s v="Check out our latest story on twitter!"/>
    <n v="4000"/>
    <n v="689"/>
    <n v="488"/>
    <n v="40000"/>
    <n v="39569"/>
    <n v="44"/>
    <s v="#LiveForNow"/>
    <x v="0"/>
    <s v="#LiveForNow"/>
    <m/>
    <m/>
    <n v="0.12942500000000001"/>
    <n v="5177"/>
  </r>
  <r>
    <s v="P115"/>
    <s v="Twitter"/>
    <s v="2025-05-11"/>
    <s v="Image"/>
    <s v="Check out our latest image on twitter!"/>
    <n v="2493"/>
    <n v="97"/>
    <n v="44"/>
    <n v="42381"/>
    <n v="41991"/>
    <n v="242"/>
    <s v="#PepsiCoRefresh,#AnytimeIsPepsiTime"/>
    <x v="3"/>
    <s v="#PepsiCoRefresh"/>
    <s v="#AnytimeIsPepsiTime"/>
    <m/>
    <n v="6.2150491965739366E-2"/>
    <n v="2634"/>
  </r>
  <r>
    <s v="P116"/>
    <s v="YouTube"/>
    <s v="2025-03-18"/>
    <s v="Reel"/>
    <s v="Check out our latest reel on youtube!"/>
    <n v="3704"/>
    <n v="186"/>
    <n v="458"/>
    <n v="25928"/>
    <n v="25081"/>
    <n v="131"/>
    <s v="#PepsiCoRefresh"/>
    <x v="4"/>
    <s v="#PepsiCoRefresh"/>
    <m/>
    <m/>
    <n v="0.16769515581610614"/>
    <n v="4348"/>
  </r>
  <r>
    <s v="P117"/>
    <s v="Twitter"/>
    <s v="2024-11-04"/>
    <s v="Image"/>
    <s v="Check out our latest image on twitter!"/>
    <n v="1606"/>
    <n v="451"/>
    <n v="405"/>
    <n v="20878"/>
    <n v="20190"/>
    <n v="219"/>
    <s v="#ThirstyForMore"/>
    <x v="3"/>
    <s v="#ThirstyForMore"/>
    <m/>
    <m/>
    <n v="0.11792317271769326"/>
    <n v="2462"/>
  </r>
  <r>
    <s v="P118"/>
    <s v="Facebook"/>
    <s v="2024-11-04"/>
    <s v="Image"/>
    <s v="Check out our latest image on facebook!"/>
    <n v="4551"/>
    <n v="714"/>
    <n v="207"/>
    <n v="68265"/>
    <n v="67754"/>
    <n v="57"/>
    <s v="#LiveForNow"/>
    <x v="2"/>
    <s v="#LiveForNow"/>
    <m/>
    <m/>
    <n v="8.0158206987475278E-2"/>
    <n v="5472"/>
  </r>
  <r>
    <s v="P119"/>
    <s v="Instagram"/>
    <s v="2025-02-07"/>
    <s v="Reel"/>
    <s v="Check out our latest reel on instagram!"/>
    <n v="1970"/>
    <n v="675"/>
    <n v="478"/>
    <n v="9850"/>
    <n v="8924"/>
    <n v="117"/>
    <s v="#LiveForNow"/>
    <x v="4"/>
    <s v="#LiveForNow"/>
    <m/>
    <m/>
    <n v="0.31705583756345179"/>
    <n v="3123"/>
  </r>
  <r>
    <s v="P120"/>
    <s v="Facebook"/>
    <s v="2024-10-21"/>
    <s v="Story"/>
    <s v="Check out our latest story on facebook!"/>
    <n v="780"/>
    <n v="928"/>
    <n v="301"/>
    <n v="8580"/>
    <n v="8081"/>
    <n v="91"/>
    <s v="#ThirstyForMore"/>
    <x v="2"/>
    <s v="#ThirstyForMore"/>
    <m/>
    <m/>
    <n v="0.23414918414918415"/>
    <n v="2009"/>
  </r>
  <r>
    <s v="P121"/>
    <s v="Instagram"/>
    <s v="2024-07-29"/>
    <s v="Story"/>
    <s v="Check out our latest story on instagram!"/>
    <n v="498"/>
    <n v="701"/>
    <n v="412"/>
    <n v="4980"/>
    <n v="4185"/>
    <n v="185"/>
    <s v="#LiveForNow"/>
    <x v="4"/>
    <s v="#LiveForNow"/>
    <m/>
    <m/>
    <n v="0.32349397590361445"/>
    <n v="1611"/>
  </r>
  <r>
    <s v="P122"/>
    <s v="Instagram"/>
    <s v="2024-10-02"/>
    <s v="Text"/>
    <s v="Check out our latest text on instagram!"/>
    <n v="3432"/>
    <n v="869"/>
    <n v="123"/>
    <n v="54912"/>
    <n v="53916"/>
    <n v="264"/>
    <s v="#ThirstyForMore"/>
    <x v="1"/>
    <s v="#ThirstyForMore"/>
    <m/>
    <m/>
    <n v="8.0565268065268064E-2"/>
    <n v="4424"/>
  </r>
  <r>
    <s v="P123"/>
    <s v="Instagram"/>
    <s v="2024-06-14"/>
    <s v="Story"/>
    <s v="Check out our latest story on instagram!"/>
    <n v="4363"/>
    <n v="649"/>
    <n v="140"/>
    <n v="21815"/>
    <n v="21481"/>
    <n v="157"/>
    <s v="#ThirstyForMore"/>
    <x v="0"/>
    <s v="#ThirstyForMore"/>
    <m/>
    <m/>
    <n v="0.23616777446710979"/>
    <n v="5152"/>
  </r>
  <r>
    <s v="P124"/>
    <s v="YouTube"/>
    <s v="2025-04-06"/>
    <s v="Carousel"/>
    <s v="Check out our latest carousel on youtube!"/>
    <n v="736"/>
    <n v="771"/>
    <n v="225"/>
    <n v="5152"/>
    <n v="4706"/>
    <n v="19"/>
    <s v="#ThirstyForMore"/>
    <x v="0"/>
    <s v="#ThirstyForMore"/>
    <m/>
    <m/>
    <n v="0.33618012422360249"/>
    <n v="1732"/>
  </r>
  <r>
    <s v="P125"/>
    <s v="Twitter"/>
    <s v="2024-09-08"/>
    <s v="Carousel"/>
    <s v="Check out our latest carousel on twitter!"/>
    <n v="3811"/>
    <n v="866"/>
    <n v="216"/>
    <n v="34299"/>
    <n v="34088"/>
    <n v="233"/>
    <s v="#PepsiCoRefresh"/>
    <x v="3"/>
    <s v="#PepsiCoRefresh"/>
    <m/>
    <m/>
    <n v="0.14265722032712325"/>
    <n v="4893"/>
  </r>
  <r>
    <s v="P126"/>
    <s v="Instagram"/>
    <s v="2025-03-28"/>
    <s v="Carousel"/>
    <s v="Check out our latest carousel on instagram!"/>
    <n v="4158"/>
    <n v="167"/>
    <n v="241"/>
    <n v="45738"/>
    <n v="45183"/>
    <n v="142"/>
    <s v="#LiveForNow"/>
    <x v="4"/>
    <s v="#LiveForNow"/>
    <m/>
    <m/>
    <n v="9.9829463465827106E-2"/>
    <n v="4566"/>
  </r>
  <r>
    <s v="P127"/>
    <s v="Facebook"/>
    <s v="2025-01-27"/>
    <s v="Reel"/>
    <s v="Check out our latest reel on facebook!"/>
    <n v="3452"/>
    <n v="652"/>
    <n v="442"/>
    <n v="65588"/>
    <n v="65049"/>
    <n v="158"/>
    <s v="#LiveForNow"/>
    <x v="2"/>
    <s v="#LiveForNow"/>
    <m/>
    <m/>
    <n v="6.9311459413307311E-2"/>
    <n v="4546"/>
  </r>
  <r>
    <s v="P129"/>
    <s v="Twitter"/>
    <s v="2024-07-21"/>
    <s v="Text"/>
    <s v="Check out our latest text on twitter!"/>
    <n v="2147"/>
    <n v="430"/>
    <n v="393"/>
    <n v="17176"/>
    <n v="16483"/>
    <n v="170"/>
    <s v="#PepsiCoRefresh"/>
    <x v="4"/>
    <s v="#PepsiCoRefresh"/>
    <m/>
    <m/>
    <n v="0.17291569632044715"/>
    <n v="2970"/>
  </r>
  <r>
    <s v="P130"/>
    <s v="YouTube"/>
    <s v="2024-09-29"/>
    <s v="Reel"/>
    <s v="Check out our latest reel on youtube!"/>
    <n v="2936"/>
    <n v="439"/>
    <n v="44"/>
    <n v="38168"/>
    <n v="37571"/>
    <n v="22"/>
    <s v="#ThirstyForMore"/>
    <x v="3"/>
    <s v="#ThirstyForMore"/>
    <m/>
    <m/>
    <n v="8.9577656675749323E-2"/>
    <n v="3419"/>
  </r>
  <r>
    <s v="P131"/>
    <s v="Instagram"/>
    <s v="2024-10-21"/>
    <s v="Reel"/>
    <s v="Check out our latest reel on instagram!"/>
    <n v="4840"/>
    <n v="658"/>
    <n v="211"/>
    <n v="43560"/>
    <n v="43225"/>
    <n v="57"/>
    <s v="#LiveForNow"/>
    <x v="2"/>
    <s v="#LiveForNow"/>
    <m/>
    <m/>
    <n v="0.13106060606060607"/>
    <n v="5709"/>
  </r>
  <r>
    <s v="P132"/>
    <s v="Instagram"/>
    <s v="2025-03-04"/>
    <s v="Story"/>
    <s v="Check out our latest story on instagram!"/>
    <n v="1947"/>
    <n v="842"/>
    <n v="101"/>
    <n v="21417"/>
    <n v="20967"/>
    <n v="186"/>
    <s v="#LiveForNow"/>
    <x v="1"/>
    <s v="#LiveForNow"/>
    <m/>
    <m/>
    <n v="0.13493953401503478"/>
    <n v="2890"/>
  </r>
  <r>
    <s v="P133"/>
    <s v="Facebook"/>
    <s v="2025-02-06"/>
    <s v="Image"/>
    <s v="Check out our latest image on facebook!"/>
    <n v="2072"/>
    <n v="532"/>
    <n v="71"/>
    <n v="37296"/>
    <n v="36467"/>
    <n v="25"/>
    <s v="#PepsiCoRefresh"/>
    <x v="3"/>
    <s v="#PepsiCoRefresh"/>
    <m/>
    <m/>
    <n v="7.172350922350923E-2"/>
    <n v="2675"/>
  </r>
  <r>
    <s v="P134"/>
    <s v="Twitter"/>
    <s v="2025-04-24"/>
    <s v="Reel"/>
    <s v="Check out our latest reel on twitter!"/>
    <n v="3731"/>
    <n v="115"/>
    <n v="135"/>
    <n v="55965"/>
    <n v="55436"/>
    <n v="103"/>
    <s v="#PepsiCoRefresh"/>
    <x v="0"/>
    <s v="#PepsiCoRefresh"/>
    <m/>
    <m/>
    <n v="7.1133744304476013E-2"/>
    <n v="3981"/>
  </r>
  <r>
    <s v="P135"/>
    <s v="Facebook"/>
    <s v="2024-11-28"/>
    <s v="Text"/>
    <s v="Check out our latest text on facebook!"/>
    <n v="4213"/>
    <n v="253"/>
    <n v="434"/>
    <n v="75834"/>
    <n v="75437"/>
    <n v="272"/>
    <s v="#LiveForNow"/>
    <x v="3"/>
    <s v="#LiveForNow"/>
    <m/>
    <m/>
    <n v="6.461481657304112E-2"/>
    <n v="4900"/>
  </r>
  <r>
    <s v="P136"/>
    <s v="Instagram"/>
    <s v="2024-07-11"/>
    <s v="Text"/>
    <s v="Check out our latest text on instagram!"/>
    <n v="3134"/>
    <n v="888"/>
    <n v="444"/>
    <n v="21938"/>
    <n v="21337"/>
    <n v="130"/>
    <s v="#ThirstyForMore"/>
    <x v="3"/>
    <s v="#ThirstyForMore"/>
    <m/>
    <m/>
    <n v="0.20357370772176134"/>
    <n v="4466"/>
  </r>
  <r>
    <s v="P137"/>
    <s v="Facebook"/>
    <s v="2024-07-31"/>
    <s v="Video"/>
    <s v="Check out our latest video on facebook!"/>
    <n v="3008"/>
    <n v="94"/>
    <n v="37"/>
    <n v="15040"/>
    <n v="14639"/>
    <n v="277"/>
    <s v="#LiveForNow"/>
    <x v="4"/>
    <s v="#LiveForNow"/>
    <m/>
    <m/>
    <n v="0.20871010638297871"/>
    <n v="3139"/>
  </r>
  <r>
    <s v="P138"/>
    <s v="Twitter"/>
    <s v="2025-03-29"/>
    <s v="Image"/>
    <s v="Check out our latest image on twitter!"/>
    <n v="305"/>
    <n v="187"/>
    <n v="243"/>
    <n v="4575"/>
    <n v="3704"/>
    <n v="234"/>
    <s v="#LiveForNow"/>
    <x v="2"/>
    <s v="#LiveForNow"/>
    <m/>
    <m/>
    <n v="0.16065573770491803"/>
    <n v="735"/>
  </r>
  <r>
    <s v="P139"/>
    <s v="YouTube"/>
    <s v="2024-10-29"/>
    <s v="Text"/>
    <s v="Check out our latest text on youtube!"/>
    <n v="2746"/>
    <n v="156"/>
    <n v="203"/>
    <n v="32952"/>
    <n v="32147"/>
    <n v="147"/>
    <s v="#ThirstyForMore"/>
    <x v="0"/>
    <s v="#ThirstyForMore"/>
    <m/>
    <m/>
    <n v="9.422796795338674E-2"/>
    <n v="3105"/>
  </r>
  <r>
    <s v="P140"/>
    <s v="Facebook"/>
    <s v="2024-07-15"/>
    <s v="Image"/>
    <s v="Check out our latest image on facebook!"/>
    <n v="2291"/>
    <n v="78"/>
    <n v="485"/>
    <n v="18328"/>
    <n v="18101"/>
    <n v="10"/>
    <s v="#ThirstyForMore,#SmoothLikeNitroPepsi"/>
    <x v="1"/>
    <s v="#ThirstyForMore"/>
    <s v="#SmoothLikeNitroPepsi"/>
    <m/>
    <n v="0.15571802706241816"/>
    <n v="2854"/>
  </r>
  <r>
    <s v="P141"/>
    <s v="Twitter"/>
    <s v="2024-08-31"/>
    <s v="Image"/>
    <s v="Check out our latest image on twitter!"/>
    <n v="3170"/>
    <n v="857"/>
    <n v="379"/>
    <n v="19020"/>
    <n v="18559"/>
    <n v="240"/>
    <s v="#LiveForNow"/>
    <x v="4"/>
    <s v="#LiveForNow"/>
    <m/>
    <m/>
    <n v="0.2316508937960042"/>
    <n v="4406"/>
  </r>
  <r>
    <s v="P142"/>
    <s v="YouTube"/>
    <s v="2025-03-25"/>
    <s v="Story"/>
    <s v="Check out our latest story on youtube!"/>
    <n v="2070"/>
    <n v="275"/>
    <n v="386"/>
    <n v="39330"/>
    <n v="38627"/>
    <n v="114"/>
    <s v="#LiveForNow"/>
    <x v="3"/>
    <s v="#LiveForNow"/>
    <m/>
    <m/>
    <n v="6.9438087973557078E-2"/>
    <n v="2731"/>
  </r>
  <r>
    <s v="P143"/>
    <s v="YouTube"/>
    <s v="2024-10-02"/>
    <s v="Carousel"/>
    <s v="Check out our latest carousel on youtube!"/>
    <n v="80"/>
    <n v="362"/>
    <n v="80"/>
    <n v="1040"/>
    <n v="349"/>
    <n v="117"/>
    <s v="#PepsiCoRefresh"/>
    <x v="2"/>
    <s v="#PepsiCoRefresh"/>
    <m/>
    <m/>
    <n v="0.50192307692307692"/>
    <n v="522"/>
  </r>
  <r>
    <s v="P144"/>
    <s v="YouTube"/>
    <s v="2024-10-28"/>
    <s v="Story"/>
    <s v="Check out our latest story on youtube!"/>
    <n v="4929"/>
    <n v="749"/>
    <n v="452"/>
    <n v="93651"/>
    <n v="92810"/>
    <n v="66"/>
    <s v="#ThirstyForMore"/>
    <x v="3"/>
    <s v="#ThirstyForMore"/>
    <m/>
    <m/>
    <n v="6.5455787978772245E-2"/>
    <n v="6130"/>
  </r>
  <r>
    <s v="P145"/>
    <s v="Instagram"/>
    <s v="2024-08-12"/>
    <s v="Carousel"/>
    <s v="Check out our latest carousel on instagram!"/>
    <n v="1878"/>
    <n v="62"/>
    <n v="179"/>
    <n v="37560"/>
    <n v="36874"/>
    <n v="142"/>
    <s v="#PepsiCoRefresh"/>
    <x v="3"/>
    <s v="#PepsiCoRefresh"/>
    <m/>
    <m/>
    <n v="5.6416400425985093E-2"/>
    <n v="2119"/>
  </r>
  <r>
    <s v="P146"/>
    <s v="YouTube"/>
    <s v="2024-06-05"/>
    <s v="Reel"/>
    <s v="Check out our latest reel on youtube!"/>
    <n v="3065"/>
    <n v="772"/>
    <n v="142"/>
    <n v="18390"/>
    <n v="17875"/>
    <n v="200"/>
    <s v="#ThirstyForMore,#AnytimeIsPepsiTime"/>
    <x v="4"/>
    <s v="#ThirstyForMore"/>
    <s v="#AnytimeIsPepsiTime"/>
    <m/>
    <n v="0.21636759108210984"/>
    <n v="3979"/>
  </r>
  <r>
    <s v="P147"/>
    <s v="Instagram"/>
    <s v="2024-10-21"/>
    <s v="Reel"/>
    <s v="Check out our latest reel on instagram!"/>
    <n v="3256"/>
    <n v="459"/>
    <n v="266"/>
    <n v="26048"/>
    <n v="25529"/>
    <n v="143"/>
    <s v="#PepsiCoRefresh"/>
    <x v="1"/>
    <s v="#PepsiCoRefresh"/>
    <m/>
    <m/>
    <n v="0.15283323095823095"/>
    <n v="3981"/>
  </r>
  <r>
    <s v="P148"/>
    <s v="Instagram"/>
    <s v="2025-04-15"/>
    <s v="Video"/>
    <s v="Check out our latest video on instagram!"/>
    <n v="4133"/>
    <n v="466"/>
    <n v="327"/>
    <n v="24798"/>
    <n v="24620"/>
    <n v="176"/>
    <s v="#ThirstyForMore"/>
    <x v="3"/>
    <s v="#ThirstyForMore"/>
    <m/>
    <m/>
    <n v="0.19864505202032423"/>
    <n v="4926"/>
  </r>
  <r>
    <s v="P149"/>
    <s v="Twitter"/>
    <s v="2024-06-16"/>
    <s v="Video"/>
    <s v="Check out our latest video on twitter!"/>
    <n v="1702"/>
    <n v="750"/>
    <n v="179"/>
    <n v="34040"/>
    <n v="33174"/>
    <n v="76"/>
    <s v="#ThirstyForMore"/>
    <x v="0"/>
    <s v="#ThirstyForMore"/>
    <m/>
    <m/>
    <n v="7.7291421856639245E-2"/>
    <n v="2631"/>
  </r>
  <r>
    <s v="P150"/>
    <s v="YouTube"/>
    <s v="2024-08-22"/>
    <s v="Carousel"/>
    <s v="Check out our latest carousel on youtube!"/>
    <n v="4295"/>
    <n v="853"/>
    <n v="325"/>
    <n v="85900"/>
    <n v="85788"/>
    <n v="290"/>
    <s v="#PepsiCoRefresh"/>
    <x v="3"/>
    <s v="#PepsiCoRefresh"/>
    <m/>
    <m/>
    <n v="6.3713620488940623E-2"/>
    <n v="5473"/>
  </r>
  <r>
    <s v="P151"/>
    <s v="Instagram"/>
    <s v="2024-07-26"/>
    <s v="Image"/>
    <s v="Check out our latest image on instagram!"/>
    <n v="3559"/>
    <n v="59"/>
    <n v="289"/>
    <n v="35590"/>
    <n v="35105"/>
    <n v="122"/>
    <s v="#ThirstyForMore"/>
    <x v="0"/>
    <s v="#ThirstyForMore"/>
    <m/>
    <m/>
    <n v="0.10977802753582468"/>
    <n v="3907"/>
  </r>
  <r>
    <s v="P152"/>
    <s v="Facebook"/>
    <s v="2025-04-22"/>
    <s v="Image"/>
    <s v="Check out our latest image on facebook!"/>
    <n v="4804"/>
    <n v="550"/>
    <n v="270"/>
    <n v="28824"/>
    <n v="28370"/>
    <n v="47"/>
    <s v="#ThirstyForMore"/>
    <x v="3"/>
    <s v="#ThirstyForMore"/>
    <m/>
    <m/>
    <n v="0.19511518179295032"/>
    <n v="5624"/>
  </r>
  <r>
    <s v="P153"/>
    <s v="Twitter"/>
    <s v="2025-01-01"/>
    <s v="Video"/>
    <s v="Check out our latest video on twitter!"/>
    <n v="754"/>
    <n v="197"/>
    <n v="257"/>
    <n v="6786"/>
    <n v="6221"/>
    <n v="212"/>
    <s v="#PepsiCoRefresh"/>
    <x v="2"/>
    <s v="#PepsiCoRefresh"/>
    <m/>
    <m/>
    <n v="0.17801355732390214"/>
    <n v="1208"/>
  </r>
  <r>
    <s v="P154"/>
    <s v="Instagram"/>
    <s v="2024-10-09"/>
    <s v="Carousel"/>
    <s v="Check out our latest carousel on instagram!"/>
    <n v="985"/>
    <n v="932"/>
    <n v="287"/>
    <n v="6895"/>
    <n v="6757"/>
    <n v="64"/>
    <s v="#LiveForNow"/>
    <x v="3"/>
    <s v="#LiveForNow"/>
    <m/>
    <m/>
    <n v="0.31965192168237855"/>
    <n v="2204"/>
  </r>
  <r>
    <s v="P155"/>
    <s v="YouTube"/>
    <s v="2024-12-21"/>
    <s v="Image"/>
    <s v="Check out our latest image on youtube!"/>
    <n v="2283"/>
    <n v="210"/>
    <n v="130"/>
    <n v="22830"/>
    <n v="22617"/>
    <n v="143"/>
    <s v="#LiveForNow"/>
    <x v="1"/>
    <s v="#LiveForNow"/>
    <m/>
    <m/>
    <n v="0.11489268506351293"/>
    <n v="2623"/>
  </r>
  <r>
    <s v="P156"/>
    <s v="Facebook"/>
    <s v="2024-10-22"/>
    <s v="Carousel"/>
    <s v="Check out our latest carousel on facebook!"/>
    <n v="3352"/>
    <n v="941"/>
    <n v="482"/>
    <n v="43576"/>
    <n v="43338"/>
    <n v="240"/>
    <s v="#LiveForNow"/>
    <x v="1"/>
    <s v="#LiveForNow"/>
    <m/>
    <m/>
    <n v="0.1095786671562328"/>
    <n v="4775"/>
  </r>
  <r>
    <s v="P157"/>
    <s v="YouTube"/>
    <s v="2024-07-23"/>
    <s v="Story"/>
    <s v="Check out our latest story on youtube!"/>
    <n v="4775"/>
    <n v="173"/>
    <n v="206"/>
    <n v="47750"/>
    <n v="47544"/>
    <n v="187"/>
    <s v="#LiveForNow"/>
    <x v="1"/>
    <s v="#LiveForNow"/>
    <m/>
    <m/>
    <n v="0.10793717277486911"/>
    <n v="5154"/>
  </r>
  <r>
    <s v="P158"/>
    <s v="Instagram"/>
    <s v="2024-08-11"/>
    <s v="Story"/>
    <s v="Check out our latest story on instagram!"/>
    <n v="1762"/>
    <n v="405"/>
    <n v="423"/>
    <n v="22906"/>
    <n v="21925"/>
    <n v="25"/>
    <s v="#PepsiCoRefresh"/>
    <x v="0"/>
    <s v="#PepsiCoRefresh"/>
    <m/>
    <m/>
    <n v="0.11307081114118571"/>
    <n v="2590"/>
  </r>
  <r>
    <s v="P159"/>
    <s v="Facebook"/>
    <s v="2024-11-25"/>
    <s v="Story"/>
    <s v="Check out our latest story on facebook!"/>
    <n v="2120"/>
    <n v="158"/>
    <n v="488"/>
    <n v="12720"/>
    <n v="12085"/>
    <n v="17"/>
    <s v="#LiveForNow"/>
    <x v="1"/>
    <s v="#LiveForNow"/>
    <m/>
    <m/>
    <n v="0.21745283018867925"/>
    <n v="2766"/>
  </r>
  <r>
    <s v="P160"/>
    <s v="Twitter"/>
    <s v="2024-08-24"/>
    <s v="Video"/>
    <s v="Check out our latest video on twitter!"/>
    <n v="1082"/>
    <n v="209"/>
    <n v="484"/>
    <n v="19476"/>
    <n v="18654"/>
    <n v="20"/>
    <s v="#PepsiCoRefresh"/>
    <x v="4"/>
    <s v="#PepsiCoRefresh"/>
    <m/>
    <m/>
    <n v="9.1137810638734856E-2"/>
    <n v="1775"/>
  </r>
  <r>
    <s v="P161"/>
    <s v="Twitter"/>
    <s v="2025-02-19"/>
    <s v="Text"/>
    <s v="Check out our latest text on twitter!"/>
    <n v="4671"/>
    <n v="876"/>
    <n v="366"/>
    <n v="51381"/>
    <n v="50565"/>
    <n v="245"/>
    <s v="#PepsiCoRefresh"/>
    <x v="3"/>
    <s v="#PepsiCoRefresh"/>
    <m/>
    <m/>
    <n v="0.11508145034156594"/>
    <n v="5913"/>
  </r>
  <r>
    <s v="P162"/>
    <s v="Facebook"/>
    <s v="2025-04-01"/>
    <s v="Story"/>
    <s v="Check out our latest story on facebook!"/>
    <n v="3430"/>
    <n v="566"/>
    <n v="164"/>
    <n v="48020"/>
    <n v="47305"/>
    <n v="120"/>
    <s v="#LiveForNow"/>
    <x v="4"/>
    <s v="#LiveForNow"/>
    <m/>
    <m/>
    <n v="8.6630570595585168E-2"/>
    <n v="4160"/>
  </r>
  <r>
    <s v="P163"/>
    <s v="Instagram"/>
    <s v="2025-04-08"/>
    <s v="Image"/>
    <s v="Check out our latest image on instagram!"/>
    <n v="4501"/>
    <n v="375"/>
    <n v="323"/>
    <n v="22505"/>
    <n v="21836"/>
    <n v="132"/>
    <s v="#PepsiCoRefresh"/>
    <x v="1"/>
    <s v="#PepsiCoRefresh"/>
    <m/>
    <m/>
    <n v="0.23101532992668297"/>
    <n v="5199"/>
  </r>
  <r>
    <s v="P164"/>
    <s v="YouTube"/>
    <s v="2025-02-27"/>
    <s v="Text"/>
    <s v="Check out our latest text on youtube!"/>
    <n v="4934"/>
    <n v="971"/>
    <n v="156"/>
    <n v="39472"/>
    <n v="39025"/>
    <n v="169"/>
    <s v="#PepsiCoRefresh,#AnytimeIsPepsiTime"/>
    <x v="3"/>
    <s v="#PepsiCoRefresh"/>
    <s v="#AnytimeIsPepsiTime"/>
    <m/>
    <n v="0.15355188488042157"/>
    <n v="6061"/>
  </r>
  <r>
    <s v="P165"/>
    <s v="Twitter"/>
    <s v="2024-12-11"/>
    <s v="Text"/>
    <s v="Check out our latest text on twitter!"/>
    <n v="3239"/>
    <n v="43"/>
    <n v="211"/>
    <n v="22673"/>
    <n v="22171"/>
    <n v="230"/>
    <s v="#PepsiCoRefresh"/>
    <x v="1"/>
    <s v="#PepsiCoRefresh"/>
    <m/>
    <m/>
    <n v="0.15405989502933004"/>
    <n v="3493"/>
  </r>
  <r>
    <s v="P166"/>
    <s v="Twitter"/>
    <s v="2025-02-16"/>
    <s v="Reel"/>
    <s v="Check out our latest reel on twitter!"/>
    <n v="1076"/>
    <n v="313"/>
    <n v="306"/>
    <n v="11836"/>
    <n v="11596"/>
    <n v="104"/>
    <s v="#LiveForNow"/>
    <x v="0"/>
    <s v="#LiveForNow"/>
    <m/>
    <m/>
    <n v="0.14320716458262928"/>
    <n v="1695"/>
  </r>
  <r>
    <s v="P167"/>
    <s v="Instagram"/>
    <s v="2024-11-28"/>
    <s v="Text"/>
    <s v="Check out our latest text on instagram!"/>
    <n v="4771"/>
    <n v="818"/>
    <n v="56"/>
    <n v="57252"/>
    <n v="56378"/>
    <n v="150"/>
    <s v="#LiveForNow"/>
    <x v="4"/>
    <s v="#LiveForNow"/>
    <m/>
    <m/>
    <n v="9.859917557465242E-2"/>
    <n v="5645"/>
  </r>
  <r>
    <s v="P168"/>
    <s v="Facebook"/>
    <s v="2024-11-12"/>
    <s v="Text"/>
    <s v="Check out our latest text on facebook!"/>
    <n v="2418"/>
    <n v="754"/>
    <n v="54"/>
    <n v="43524"/>
    <n v="42743"/>
    <n v="182"/>
    <s v="#ThirstyForMore"/>
    <x v="0"/>
    <s v="#ThirstyForMore"/>
    <m/>
    <m/>
    <n v="7.412002573292896E-2"/>
    <n v="3226"/>
  </r>
  <r>
    <s v="P169"/>
    <s v="YouTube"/>
    <s v="2024-12-03"/>
    <s v="Video"/>
    <s v="Check out our latest video on youtube!"/>
    <n v="3809"/>
    <n v="273"/>
    <n v="200"/>
    <n v="34281"/>
    <n v="33534"/>
    <n v="83"/>
    <s v="#ThirstyForMore"/>
    <x v="0"/>
    <s v="#ThirstyForMore"/>
    <m/>
    <m/>
    <n v="0.12490884163239112"/>
    <n v="4282"/>
  </r>
  <r>
    <s v="P170"/>
    <s v="Twitter"/>
    <s v="2025-04-28"/>
    <s v="Text"/>
    <s v="Check out our latest text on twitter!"/>
    <n v="3577"/>
    <n v="596"/>
    <n v="493"/>
    <n v="67963"/>
    <n v="67839"/>
    <n v="53"/>
    <s v="#PepsiCoRefresh"/>
    <x v="2"/>
    <s v="#PepsiCoRefresh"/>
    <m/>
    <m/>
    <n v="6.8655003457763777E-2"/>
    <n v="4666"/>
  </r>
  <r>
    <s v="P171"/>
    <s v="YouTube"/>
    <s v="2024-12-31"/>
    <s v="Video"/>
    <s v="Check out our latest video on youtube!"/>
    <n v="1018"/>
    <n v="447"/>
    <n v="332"/>
    <n v="18324"/>
    <n v="18164"/>
    <n v="38"/>
    <s v="#LiveForNow"/>
    <x v="1"/>
    <s v="#LiveForNow"/>
    <m/>
    <m/>
    <n v="9.8068107400130972E-2"/>
    <n v="1797"/>
  </r>
  <r>
    <s v="P172"/>
    <s v="Facebook"/>
    <s v="2024-08-14"/>
    <s v="Carousel"/>
    <s v="Check out our latest carousel on facebook!"/>
    <n v="3073"/>
    <n v="553"/>
    <n v="174"/>
    <n v="52241"/>
    <n v="51605"/>
    <n v="246"/>
    <s v="#ThirstyForMore"/>
    <x v="2"/>
    <s v="#ThirstyForMore"/>
    <m/>
    <m/>
    <n v="7.2739802071170159E-2"/>
    <n v="3800"/>
  </r>
  <r>
    <s v="P173"/>
    <s v="Twitter"/>
    <s v="2024-12-05"/>
    <s v="Video"/>
    <s v="Check out our latest video on twitter!"/>
    <n v="1330"/>
    <n v="925"/>
    <n v="35"/>
    <n v="15960"/>
    <n v="15379"/>
    <n v="229"/>
    <s v="#LiveForNow"/>
    <x v="2"/>
    <s v="#LiveForNow"/>
    <m/>
    <m/>
    <n v="0.14348370927318296"/>
    <n v="2290"/>
  </r>
  <r>
    <s v="P174"/>
    <s v="Facebook"/>
    <s v="2024-06-22"/>
    <s v="Text"/>
    <s v="Check out our latest text on facebook!"/>
    <n v="3828"/>
    <n v="148"/>
    <n v="253"/>
    <n v="30624"/>
    <n v="30229"/>
    <n v="235"/>
    <s v="#ThirstyForMore"/>
    <x v="4"/>
    <s v="#ThirstyForMore"/>
    <m/>
    <m/>
    <n v="0.13809430512016718"/>
    <n v="4229"/>
  </r>
  <r>
    <s v="P175"/>
    <s v="Instagram"/>
    <s v="2025-01-17"/>
    <s v="Reel"/>
    <s v="Check out our latest reel on instagram!"/>
    <n v="142"/>
    <n v="784"/>
    <n v="183"/>
    <n v="1704"/>
    <n v="995"/>
    <n v="154"/>
    <s v="#LiveForNow"/>
    <x v="3"/>
    <s v="#LiveForNow"/>
    <m/>
    <m/>
    <n v="0.6508215962441315"/>
    <n v="1109"/>
  </r>
  <r>
    <s v="P176"/>
    <s v="Facebook"/>
    <s v="2024-06-20"/>
    <s v="Video"/>
    <s v="Check out our latest video on facebook!"/>
    <n v="3798"/>
    <n v="31"/>
    <n v="279"/>
    <n v="75960"/>
    <n v="75813"/>
    <n v="266"/>
    <s v="#PepsiCoRefresh"/>
    <x v="0"/>
    <s v="#PepsiCoRefresh"/>
    <m/>
    <m/>
    <n v="5.4081095313322801E-2"/>
    <n v="4108"/>
  </r>
  <r>
    <s v="P177"/>
    <s v="Instagram"/>
    <s v="2024-07-10"/>
    <s v="Carousel"/>
    <s v="Check out our latest carousel on instagram!"/>
    <n v="3099"/>
    <n v="694"/>
    <n v="171"/>
    <n v="43386"/>
    <n v="42921"/>
    <n v="52"/>
    <s v="#PepsiCoRefresh"/>
    <x v="2"/>
    <s v="#PepsiCoRefresh"/>
    <m/>
    <m/>
    <n v="9.1365878393951966E-2"/>
    <n v="3964"/>
  </r>
  <r>
    <s v="P178"/>
    <s v="Instagram"/>
    <s v="2024-11-07"/>
    <s v="Video"/>
    <s v="Check out our latest video on instagram!"/>
    <n v="129"/>
    <n v="643"/>
    <n v="136"/>
    <n v="1290"/>
    <n v="839"/>
    <n v="238"/>
    <s v="#PepsiCoRefresh"/>
    <x v="3"/>
    <s v="#PepsiCoRefresh"/>
    <m/>
    <m/>
    <n v="0.70387596899224802"/>
    <n v="908"/>
  </r>
  <r>
    <s v="P179"/>
    <s v="Facebook"/>
    <s v="2024-07-15"/>
    <s v="Carousel"/>
    <s v="Check out our latest carousel on facebook!"/>
    <n v="3796"/>
    <n v="667"/>
    <n v="395"/>
    <n v="64532"/>
    <n v="63550"/>
    <n v="292"/>
    <s v="#PepsiCoRefresh"/>
    <x v="4"/>
    <s v="#PepsiCoRefresh"/>
    <m/>
    <m/>
    <n v="7.5280481001673588E-2"/>
    <n v="4858"/>
  </r>
  <r>
    <s v="P180"/>
    <s v="YouTube"/>
    <s v="2024-12-03"/>
    <s v="Text"/>
    <s v="Check out our latest text on youtube!"/>
    <n v="3711"/>
    <n v="352"/>
    <n v="290"/>
    <n v="48243"/>
    <n v="47579"/>
    <n v="11"/>
    <s v="#PepsiCoRefresh"/>
    <x v="0"/>
    <s v="#PepsiCoRefresh"/>
    <m/>
    <m/>
    <n v="9.023070704558174E-2"/>
    <n v="4353"/>
  </r>
  <r>
    <s v="P181"/>
    <s v="YouTube"/>
    <s v="2025-03-21"/>
    <s v="Image"/>
    <s v="Check out our latest image on youtube!"/>
    <n v="606"/>
    <n v="789"/>
    <n v="470"/>
    <n v="7878"/>
    <n v="7389"/>
    <n v="239"/>
    <s v="#ThirstyForMore"/>
    <x v="2"/>
    <s v="#ThirstyForMore"/>
    <m/>
    <m/>
    <n v="0.23673521198273673"/>
    <n v="1865"/>
  </r>
  <r>
    <s v="P182"/>
    <s v="Facebook"/>
    <s v="2024-07-31"/>
    <s v="Image"/>
    <s v="Check out our latest image on facebook!"/>
    <n v="4689"/>
    <n v="134"/>
    <n v="403"/>
    <n v="51579"/>
    <n v="50924"/>
    <n v="173"/>
    <s v="#PepsiCoRefresh"/>
    <x v="3"/>
    <s v="#PepsiCoRefresh"/>
    <m/>
    <m/>
    <n v="0.10132030477519921"/>
    <n v="5226"/>
  </r>
  <r>
    <s v="P183"/>
    <s v="Instagram"/>
    <s v="2024-12-17"/>
    <s v="Story"/>
    <s v="Check out our latest story on instagram!"/>
    <n v="360"/>
    <n v="590"/>
    <n v="393"/>
    <n v="4680"/>
    <n v="4322"/>
    <n v="208"/>
    <s v="#LiveForNow"/>
    <x v="1"/>
    <s v="#LiveForNow"/>
    <m/>
    <m/>
    <n v="0.28696581196581195"/>
    <n v="1343"/>
  </r>
  <r>
    <s v="P184"/>
    <s v="Twitter"/>
    <s v="2024-07-28"/>
    <s v="Image"/>
    <s v="Check out our latest image on twitter!"/>
    <n v="3215"/>
    <n v="960"/>
    <n v="202"/>
    <n v="32150"/>
    <n v="31404"/>
    <n v="251"/>
    <s v="#ThirstyForMore"/>
    <x v="0"/>
    <s v="#ThirstyForMore"/>
    <m/>
    <m/>
    <n v="0.13614307931570763"/>
    <n v="4377"/>
  </r>
  <r>
    <s v="P185"/>
    <s v="Instagram"/>
    <s v="2025-01-11"/>
    <s v="Carousel"/>
    <s v="Check out our latest carousel on instagram!"/>
    <n v="4523"/>
    <n v="61"/>
    <n v="157"/>
    <n v="49753"/>
    <n v="49329"/>
    <n v="71"/>
    <s v="#ThirstyForMore"/>
    <x v="4"/>
    <s v="#ThirstyForMore"/>
    <m/>
    <m/>
    <n v="9.5290736237010829E-2"/>
    <n v="4741"/>
  </r>
  <r>
    <s v="P186"/>
    <s v="Facebook"/>
    <s v="2024-08-24"/>
    <s v="Carousel"/>
    <s v="Check out our latest carousel on facebook!"/>
    <n v="4292"/>
    <n v="51"/>
    <n v="392"/>
    <n v="55796"/>
    <n v="54826"/>
    <n v="264"/>
    <s v="#ThirstyForMore"/>
    <x v="2"/>
    <s v="#ThirstyForMore"/>
    <m/>
    <m/>
    <n v="8.4862714173059003E-2"/>
    <n v="4735"/>
  </r>
  <r>
    <s v="P187"/>
    <s v="Twitter"/>
    <s v="2024-12-22"/>
    <s v="Reel"/>
    <s v="Check out our latest reel on twitter!"/>
    <n v="1644"/>
    <n v="546"/>
    <n v="150"/>
    <n v="27948"/>
    <n v="27184"/>
    <n v="300"/>
    <s v="#ThirstyForMore"/>
    <x v="2"/>
    <s v="#ThirstyForMore"/>
    <m/>
    <m/>
    <n v="8.3726921425504502E-2"/>
    <n v="2340"/>
  </r>
  <r>
    <s v="P188"/>
    <s v="YouTube"/>
    <s v="2024-06-06"/>
    <s v="Reel"/>
    <s v="Check out our latest reel on youtube!"/>
    <n v="2728"/>
    <n v="533"/>
    <n v="215"/>
    <n v="40920"/>
    <n v="40816"/>
    <n v="137"/>
    <s v="#LiveForNow"/>
    <x v="1"/>
    <s v="#LiveForNow"/>
    <m/>
    <m/>
    <n v="8.4946236559139784E-2"/>
    <n v="3476"/>
  </r>
  <r>
    <s v="P189"/>
    <s v="Facebook"/>
    <s v="2025-03-24"/>
    <s v="Reel"/>
    <s v="Check out our latest reel on facebook!"/>
    <n v="3360"/>
    <n v="525"/>
    <n v="500"/>
    <n v="60480"/>
    <n v="59610"/>
    <n v="192"/>
    <s v="#PepsiCoRefresh"/>
    <x v="0"/>
    <s v="#PepsiCoRefresh"/>
    <m/>
    <m/>
    <n v="7.2503306878306875E-2"/>
    <n v="4385"/>
  </r>
  <r>
    <s v="P190"/>
    <s v="YouTube"/>
    <s v="2024-10-04"/>
    <s v="Text"/>
    <s v="Check out our latest text on youtube!"/>
    <n v="1963"/>
    <n v="213"/>
    <n v="19"/>
    <n v="39260"/>
    <n v="38771"/>
    <n v="145"/>
    <s v="#LiveForNow"/>
    <x v="4"/>
    <s v="#LiveForNow"/>
    <m/>
    <m/>
    <n v="5.5909322465613857E-2"/>
    <n v="2195"/>
  </r>
  <r>
    <s v="P191"/>
    <s v="YouTube"/>
    <s v="2024-12-03"/>
    <s v="Story"/>
    <s v="Check out our latest story on youtube!"/>
    <n v="4285"/>
    <n v="886"/>
    <n v="376"/>
    <n v="55705"/>
    <n v="55556"/>
    <n v="51"/>
    <s v="#LiveForNow"/>
    <x v="2"/>
    <s v="#LiveForNow"/>
    <m/>
    <m/>
    <n v="9.9578134817341346E-2"/>
    <n v="5547"/>
  </r>
  <r>
    <s v="P192"/>
    <s v="Instagram"/>
    <s v="2024-11-29"/>
    <s v="Video"/>
    <s v="Check out our latest video on instagram!"/>
    <n v="1176"/>
    <n v="464"/>
    <n v="394"/>
    <n v="14112"/>
    <n v="13588"/>
    <n v="272"/>
    <s v="#ThirstyForMore"/>
    <x v="4"/>
    <s v="#ThirstyForMore"/>
    <m/>
    <m/>
    <n v="0.1441326530612245"/>
    <n v="2034"/>
  </r>
  <r>
    <s v="P193"/>
    <s v="Twitter"/>
    <s v="2024-09-11"/>
    <s v="Image"/>
    <s v="Check out our latest image on twitter!"/>
    <n v="4858"/>
    <n v="317"/>
    <n v="129"/>
    <n v="53438"/>
    <n v="52687"/>
    <n v="223"/>
    <s v="#ThirstyForMore"/>
    <x v="2"/>
    <s v="#ThirstyForMore"/>
    <m/>
    <m/>
    <n v="9.9255211647142488E-2"/>
    <n v="5304"/>
  </r>
  <r>
    <s v="P194"/>
    <s v="YouTube"/>
    <s v="2024-10-02"/>
    <s v="Story"/>
    <s v="Check out our latest story on youtube!"/>
    <n v="4350"/>
    <n v="771"/>
    <n v="7"/>
    <n v="60900"/>
    <n v="60592"/>
    <n v="195"/>
    <s v="#ThirstyForMore"/>
    <x v="0"/>
    <s v="#ThirstyForMore"/>
    <m/>
    <m/>
    <n v="8.4203612479474554E-2"/>
    <n v="5128"/>
  </r>
  <r>
    <s v="P195"/>
    <s v="Instagram"/>
    <s v="2024-08-15"/>
    <s v="Carousel"/>
    <s v="Check out our latest carousel on instagram!"/>
    <n v="914"/>
    <n v="464"/>
    <n v="246"/>
    <n v="11882"/>
    <n v="11500"/>
    <n v="282"/>
    <s v="#LiveForNow,#PepsiCoRefresh,#AnytimeIsPepsiTime"/>
    <x v="3"/>
    <s v="#LiveForNow"/>
    <s v="#PepsiCoRefresh"/>
    <s v="#AnytimeIsPepsiTime"/>
    <n v="0.13667732704931829"/>
    <n v="1624"/>
  </r>
  <r>
    <s v="P196"/>
    <s v="Instagram"/>
    <s v="2024-12-19"/>
    <s v="Text"/>
    <s v="Check out our latest text on instagram!"/>
    <n v="1813"/>
    <n v="623"/>
    <n v="72"/>
    <n v="19943"/>
    <n v="18959"/>
    <n v="85"/>
    <s v="#ThirstyForMore"/>
    <x v="2"/>
    <s v="#ThirstyForMore"/>
    <m/>
    <m/>
    <n v="0.12575841147269717"/>
    <n v="2508"/>
  </r>
  <r>
    <s v="P197"/>
    <s v="Twitter"/>
    <s v="2024-10-22"/>
    <s v="Reel"/>
    <s v="Check out our latest reel on twitter!"/>
    <n v="4782"/>
    <n v="721"/>
    <n v="82"/>
    <n v="86076"/>
    <n v="85339"/>
    <n v="19"/>
    <s v="#ThirstyForMore"/>
    <x v="0"/>
    <s v="#ThirstyForMore"/>
    <m/>
    <m/>
    <n v="6.4884520656164318E-2"/>
    <n v="5585"/>
  </r>
  <r>
    <s v="P198"/>
    <s v="Twitter"/>
    <s v="2024-09-14"/>
    <s v="Image"/>
    <s v="Check out our latest image on twitter!"/>
    <n v="1048"/>
    <n v="374"/>
    <n v="450"/>
    <n v="9432"/>
    <n v="8882"/>
    <n v="158"/>
    <s v="#PepsiCoRefresh"/>
    <x v="2"/>
    <s v="#PepsiCoRefresh"/>
    <m/>
    <m/>
    <n v="0.19847328244274809"/>
    <n v="1872"/>
  </r>
  <r>
    <s v="P199"/>
    <s v="YouTube"/>
    <s v="2024-11-30"/>
    <s v="Carousel"/>
    <s v="Check out our latest carousel on youtube!"/>
    <n v="2509"/>
    <n v="324"/>
    <n v="171"/>
    <n v="35126"/>
    <n v="34685"/>
    <n v="277"/>
    <s v="#PepsiCoRefresh"/>
    <x v="1"/>
    <s v="#PepsiCoRefresh"/>
    <m/>
    <m/>
    <n v="8.5520696919660646E-2"/>
    <n v="3004"/>
  </r>
  <r>
    <s v="P200"/>
    <s v="Facebook"/>
    <s v="2025-04-07"/>
    <s v="Reel"/>
    <s v="Check out our latest reel on facebook!"/>
    <n v="3718"/>
    <n v="385"/>
    <n v="310"/>
    <n v="70642"/>
    <n v="69749"/>
    <n v="233"/>
    <s v="#PepsiCoRefresh"/>
    <x v="1"/>
    <s v="#PepsiCoRefresh"/>
    <m/>
    <m/>
    <n v="6.246991874522239E-2"/>
    <n v="4413"/>
  </r>
  <r>
    <s v="P201"/>
    <s v="Twitter"/>
    <s v="2025-01-15"/>
    <s v="Reel"/>
    <s v="Check out our latest reel on twitter!"/>
    <n v="802"/>
    <n v="262"/>
    <n v="244"/>
    <n v="14436"/>
    <n v="14280"/>
    <n v="49"/>
    <s v="#ThirstyForMore"/>
    <x v="0"/>
    <s v="#ThirstyForMore"/>
    <m/>
    <m/>
    <n v="9.0606816292601824E-2"/>
    <n v="1308"/>
  </r>
  <r>
    <s v="P202"/>
    <s v="Facebook"/>
    <s v="2024-06-02"/>
    <s v="Image"/>
    <s v="Check out our latest image on facebook!"/>
    <n v="1871"/>
    <n v="252"/>
    <n v="335"/>
    <n v="29936"/>
    <n v="29576"/>
    <n v="288"/>
    <s v="#ThirstyForMore"/>
    <x v="2"/>
    <s v="#ThirstyForMore"/>
    <m/>
    <m/>
    <n v="8.2108498129342594E-2"/>
    <n v="2458"/>
  </r>
  <r>
    <s v="P203"/>
    <s v="Instagram"/>
    <s v="2024-11-21"/>
    <s v="Carousel"/>
    <s v="Check out our latest carousel on instagram!"/>
    <n v="3773"/>
    <n v="299"/>
    <n v="38"/>
    <n v="71687"/>
    <n v="71447"/>
    <n v="286"/>
    <s v="#LiveForNow"/>
    <x v="0"/>
    <s v="#LiveForNow"/>
    <m/>
    <m/>
    <n v="5.7332570758993957E-2"/>
    <n v="4110"/>
  </r>
  <r>
    <s v="P204"/>
    <s v="Instagram"/>
    <s v="2025-01-01"/>
    <s v="Carousel"/>
    <s v="Check out our latest carousel on instagram!"/>
    <n v="2234"/>
    <n v="653"/>
    <n v="432"/>
    <n v="11170"/>
    <n v="10569"/>
    <n v="198"/>
    <s v="#LiveForNow"/>
    <x v="2"/>
    <s v="#LiveForNow"/>
    <m/>
    <m/>
    <n v="0.29713518352730528"/>
    <n v="3319"/>
  </r>
  <r>
    <s v="P205"/>
    <s v="Twitter"/>
    <s v="2025-04-24"/>
    <s v="Video"/>
    <s v="Check out our latest video on twitter!"/>
    <n v="3820"/>
    <n v="697"/>
    <n v="268"/>
    <n v="45840"/>
    <n v="45631"/>
    <n v="171"/>
    <s v="#PepsiCoRefresh,#SmoothLikeNitroPepsi"/>
    <x v="3"/>
    <s v="#PepsiCoRefresh"/>
    <s v="#SmoothLikeNitroPepsi"/>
    <m/>
    <n v="0.1043848167539267"/>
    <n v="4785"/>
  </r>
  <r>
    <s v="P206"/>
    <s v="Twitter"/>
    <s v="2024-06-24"/>
    <s v="Text"/>
    <s v="Check out our latest text on twitter!"/>
    <n v="941"/>
    <n v="121"/>
    <n v="458"/>
    <n v="14115"/>
    <n v="13838"/>
    <n v="87"/>
    <s v="#ThirstyForMore"/>
    <x v="0"/>
    <s v="#ThirstyForMore"/>
    <m/>
    <m/>
    <n v="0.10768685795253277"/>
    <n v="1520"/>
  </r>
  <r>
    <s v="P207"/>
    <s v="Twitter"/>
    <s v="2024-12-29"/>
    <s v="Carousel"/>
    <s v="Check out our latest carousel on twitter!"/>
    <n v="4274"/>
    <n v="340"/>
    <n v="281"/>
    <n v="34192"/>
    <n v="33446"/>
    <n v="129"/>
    <s v="#PepsiCoRefresh,#SmoothLikeNitroPepsi"/>
    <x v="2"/>
    <s v="#PepsiCoRefresh"/>
    <s v="#SmoothLikeNitroPepsi"/>
    <m/>
    <n v="0.14316214319138981"/>
    <n v="4895"/>
  </r>
  <r>
    <s v="P208"/>
    <s v="YouTube"/>
    <s v="2024-06-24"/>
    <s v="Video"/>
    <s v="Check out our latest video on youtube!"/>
    <n v="2949"/>
    <n v="476"/>
    <n v="403"/>
    <n v="44235"/>
    <n v="43705"/>
    <n v="135"/>
    <s v="#PepsiCoRefresh"/>
    <x v="1"/>
    <s v="#PepsiCoRefresh"/>
    <m/>
    <m/>
    <n v="8.6537809426924378E-2"/>
    <n v="3828"/>
  </r>
  <r>
    <s v="P209"/>
    <s v="Twitter"/>
    <s v="2025-03-19"/>
    <s v="Video"/>
    <s v="Check out our latest video on twitter!"/>
    <n v="3160"/>
    <n v="204"/>
    <n v="297"/>
    <n v="44240"/>
    <n v="43666"/>
    <n v="49"/>
    <s v="#LiveForNow,#AnytimeIsPepsiTime"/>
    <x v="3"/>
    <s v="#LiveForNow"/>
    <s v="#AnytimeIsPepsiTime"/>
    <m/>
    <n v="8.2753164556962022E-2"/>
    <n v="3661"/>
  </r>
  <r>
    <s v="P210"/>
    <s v="YouTube"/>
    <s v="2025-02-19"/>
    <s v="Image"/>
    <s v="Check out our latest image on youtube!"/>
    <n v="257"/>
    <n v="966"/>
    <n v="398"/>
    <n v="3341"/>
    <n v="2753"/>
    <n v="287"/>
    <s v="#LiveForNow"/>
    <x v="0"/>
    <s v="#LiveForNow"/>
    <m/>
    <m/>
    <n v="0.48518407662376534"/>
    <n v="1621"/>
  </r>
  <r>
    <s v="P211"/>
    <s v="Twitter"/>
    <s v="2024-07-18"/>
    <s v="Carousel"/>
    <s v="Check out our latest carousel on twitter!"/>
    <n v="2120"/>
    <n v="38"/>
    <n v="212"/>
    <n v="12720"/>
    <n v="12564"/>
    <n v="21"/>
    <s v="#LiveForNow"/>
    <x v="3"/>
    <s v="#LiveForNow"/>
    <m/>
    <m/>
    <n v="0.18632075471698112"/>
    <n v="2370"/>
  </r>
  <r>
    <s v="P212"/>
    <s v="YouTube"/>
    <s v="2025-03-03"/>
    <s v="Video"/>
    <s v="Check out our latest video on youtube!"/>
    <n v="3874"/>
    <n v="884"/>
    <n v="19"/>
    <n v="38740"/>
    <n v="38552"/>
    <n v="219"/>
    <s v="#PepsiCoRefresh"/>
    <x v="1"/>
    <s v="#PepsiCoRefresh"/>
    <m/>
    <m/>
    <n v="0.123309241094476"/>
    <n v="4777"/>
  </r>
  <r>
    <s v="P213"/>
    <s v="Facebook"/>
    <s v="2025-05-01"/>
    <s v="Carousel"/>
    <s v="Check out our latest carousel on facebook!"/>
    <n v="2696"/>
    <n v="628"/>
    <n v="443"/>
    <n v="45832"/>
    <n v="45632"/>
    <n v="248"/>
    <s v="#ThirstyForMore"/>
    <x v="3"/>
    <s v="#ThirstyForMore"/>
    <m/>
    <m/>
    <n v="8.21914819340199E-2"/>
    <n v="3767"/>
  </r>
  <r>
    <s v="P214"/>
    <s v="Instagram"/>
    <s v="2024-12-23"/>
    <s v="Image"/>
    <s v="Check out our latest image on instagram!"/>
    <n v="521"/>
    <n v="746"/>
    <n v="315"/>
    <n v="4168"/>
    <n v="3399"/>
    <n v="282"/>
    <s v="#LiveForNow"/>
    <x v="1"/>
    <s v="#LiveForNow"/>
    <m/>
    <m/>
    <n v="0.37955854126679461"/>
    <n v="1582"/>
  </r>
  <r>
    <s v="P215"/>
    <s v="Facebook"/>
    <s v="2025-05-06"/>
    <s v="Image"/>
    <s v="Check out our latest image on facebook!"/>
    <n v="4872"/>
    <n v="925"/>
    <n v="176"/>
    <n v="82824"/>
    <n v="82543"/>
    <n v="89"/>
    <s v="#ThirstyForMore"/>
    <x v="1"/>
    <s v="#ThirstyForMore"/>
    <m/>
    <m/>
    <n v="7.2116777745580993E-2"/>
    <n v="5973"/>
  </r>
  <r>
    <s v="P216"/>
    <s v="YouTube"/>
    <s v="2024-07-29"/>
    <s v="Story"/>
    <s v="Check out our latest story on youtube!"/>
    <n v="1509"/>
    <n v="88"/>
    <n v="163"/>
    <n v="30180"/>
    <n v="29689"/>
    <n v="119"/>
    <s v="#ThirstyForMore"/>
    <x v="1"/>
    <s v="#ThirstyForMore"/>
    <m/>
    <m/>
    <n v="5.8316766070245198E-2"/>
    <n v="1760"/>
  </r>
  <r>
    <s v="P217"/>
    <s v="Facebook"/>
    <s v="2024-12-03"/>
    <s v="Image"/>
    <s v="Check out our latest image on facebook!"/>
    <n v="4606"/>
    <n v="931"/>
    <n v="230"/>
    <n v="92120"/>
    <n v="91440"/>
    <n v="56"/>
    <s v="#PepsiCoRefresh"/>
    <x v="4"/>
    <s v="#PepsiCoRefresh"/>
    <m/>
    <m/>
    <n v="6.2603126356925748E-2"/>
    <n v="5767"/>
  </r>
  <r>
    <s v="P218"/>
    <s v="Facebook"/>
    <s v="2024-06-11"/>
    <s v="Carousel"/>
    <s v="Check out our latest carousel on facebook!"/>
    <n v="1869"/>
    <n v="453"/>
    <n v="490"/>
    <n v="14952"/>
    <n v="14309"/>
    <n v="275"/>
    <s v="#PepsiCoRefresh"/>
    <x v="3"/>
    <s v="#PepsiCoRefresh"/>
    <m/>
    <m/>
    <n v="0.18806848582129482"/>
    <n v="2812"/>
  </r>
  <r>
    <s v="P219"/>
    <s v="Twitter"/>
    <s v="2025-01-28"/>
    <s v="Reel"/>
    <s v="Check out our latest reel on twitter!"/>
    <n v="1188"/>
    <n v="470"/>
    <n v="174"/>
    <n v="7128"/>
    <n v="6145"/>
    <n v="270"/>
    <s v="#PepsiCoRefresh"/>
    <x v="3"/>
    <s v="#PepsiCoRefresh"/>
    <m/>
    <m/>
    <n v="0.25701459034792368"/>
    <n v="1832"/>
  </r>
  <r>
    <s v="P220"/>
    <s v="Instagram"/>
    <s v="2024-06-02"/>
    <s v="Story"/>
    <s v="Check out our latest story on instagram!"/>
    <n v="84"/>
    <n v="897"/>
    <n v="85"/>
    <n v="588"/>
    <n v="8"/>
    <n v="12"/>
    <s v="#ThirstyForMore"/>
    <x v="4"/>
    <s v="#ThirstyForMore"/>
    <m/>
    <m/>
    <n v="1.8129251700680271"/>
    <n v="1066"/>
  </r>
  <r>
    <s v="P221"/>
    <s v="Facebook"/>
    <s v="2025-03-23"/>
    <s v="Video"/>
    <s v="Check out our latest video on facebook!"/>
    <n v="4453"/>
    <n v="111"/>
    <n v="420"/>
    <n v="31171"/>
    <n v="30565"/>
    <n v="23"/>
    <s v="#PepsiCoRefresh"/>
    <x v="4"/>
    <s v="#PepsiCoRefresh"/>
    <m/>
    <m/>
    <n v="0.15989220750056141"/>
    <n v="4984"/>
  </r>
  <r>
    <s v="P222"/>
    <s v="Facebook"/>
    <s v="2024-10-08"/>
    <s v="Reel"/>
    <s v="Check out our latest reel on facebook!"/>
    <n v="1814"/>
    <n v="653"/>
    <n v="363"/>
    <n v="25396"/>
    <n v="25286"/>
    <n v="39"/>
    <s v="#LiveForNow,#SmoothLikeNitroPepsi"/>
    <x v="0"/>
    <s v="#LiveForNow"/>
    <s v="#SmoothLikeNitroPepsi"/>
    <m/>
    <n v="0.11143487163332809"/>
    <n v="2830"/>
  </r>
  <r>
    <s v="P223"/>
    <s v="Twitter"/>
    <s v="2024-11-12"/>
    <s v="Image"/>
    <s v="Check out our latest image on twitter!"/>
    <n v="3338"/>
    <n v="277"/>
    <n v="118"/>
    <n v="60084"/>
    <n v="59842"/>
    <n v="252"/>
    <s v="#PepsiCoRefresh"/>
    <x v="4"/>
    <s v="#PepsiCoRefresh"/>
    <m/>
    <m/>
    <n v="6.2129685107516146E-2"/>
    <n v="3733"/>
  </r>
  <r>
    <s v="P224"/>
    <s v="Facebook"/>
    <s v="2025-05-13"/>
    <s v="Image"/>
    <s v="Check out our latest image on facebook!"/>
    <n v="602"/>
    <n v="594"/>
    <n v="156"/>
    <n v="4214"/>
    <n v="3363"/>
    <n v="164"/>
    <s v="#PepsiCoRefresh"/>
    <x v="2"/>
    <s v="#PepsiCoRefresh"/>
    <m/>
    <m/>
    <n v="0.32083531086853345"/>
    <n v="1352"/>
  </r>
  <r>
    <s v="P225"/>
    <s v="Twitter"/>
    <s v="2024-06-20"/>
    <s v="Carousel"/>
    <s v="Check out our latest carousel on twitter!"/>
    <n v="4672"/>
    <n v="325"/>
    <n v="32"/>
    <n v="88768"/>
    <n v="87833"/>
    <n v="118"/>
    <s v="#ThirstyForMore"/>
    <x v="4"/>
    <s v="#ThirstyForMore"/>
    <m/>
    <m/>
    <n v="5.6653298485940883E-2"/>
    <n v="5029"/>
  </r>
  <r>
    <s v="P226"/>
    <s v="Instagram"/>
    <s v="2024-08-07"/>
    <s v="Carousel"/>
    <s v="Check out our latest carousel on instagram!"/>
    <n v="1741"/>
    <n v="164"/>
    <n v="318"/>
    <n v="8705"/>
    <n v="8272"/>
    <n v="121"/>
    <s v="#PepsiCoRefresh"/>
    <x v="4"/>
    <s v="#PepsiCoRefresh"/>
    <m/>
    <m/>
    <n v="0.25537047673750718"/>
    <n v="2223"/>
  </r>
  <r>
    <s v="P227"/>
    <s v="Instagram"/>
    <s v="2024-06-12"/>
    <s v="Text"/>
    <s v="Check out our latest text on instagram!"/>
    <n v="246"/>
    <n v="149"/>
    <n v="130"/>
    <n v="4674"/>
    <n v="4390"/>
    <n v="217"/>
    <s v="#LiveForNow"/>
    <x v="2"/>
    <s v="#LiveForNow"/>
    <m/>
    <m/>
    <n v="0.11232349165596919"/>
    <n v="525"/>
  </r>
  <r>
    <s v="P228"/>
    <s v="Instagram"/>
    <s v="2024-07-01"/>
    <s v="Story"/>
    <s v="Check out our latest story on instagram!"/>
    <n v="4808"/>
    <n v="772"/>
    <n v="320"/>
    <n v="72120"/>
    <n v="71696"/>
    <n v="195"/>
    <s v="#ThirstyForMore"/>
    <x v="0"/>
    <s v="#ThirstyForMore"/>
    <m/>
    <m/>
    <n v="8.1808097615085965E-2"/>
    <n v="5900"/>
  </r>
  <r>
    <s v="P229"/>
    <s v="Instagram"/>
    <s v="2024-07-03"/>
    <s v="Carousel"/>
    <s v="Check out our latest carousel on instagram!"/>
    <n v="4799"/>
    <n v="694"/>
    <n v="289"/>
    <n v="43191"/>
    <n v="42228"/>
    <n v="118"/>
    <s v="#PepsiCoRefresh"/>
    <x v="4"/>
    <s v="#PepsiCoRefresh"/>
    <m/>
    <m/>
    <n v="0.13387048227640017"/>
    <n v="5782"/>
  </r>
  <r>
    <s v="P230"/>
    <s v="Facebook"/>
    <s v="2024-07-15"/>
    <s v="Reel"/>
    <s v="Check out our latest reel on facebook!"/>
    <n v="3663"/>
    <n v="17"/>
    <n v="295"/>
    <n v="51282"/>
    <n v="50567"/>
    <n v="84"/>
    <s v="#ThirstyForMore"/>
    <x v="2"/>
    <s v="#ThirstyForMore"/>
    <m/>
    <m/>
    <n v="7.7512577512577507E-2"/>
    <n v="3975"/>
  </r>
  <r>
    <s v="P231"/>
    <s v="Instagram"/>
    <s v="2025-05-01"/>
    <s v="Text"/>
    <s v="Check out our latest text on instagram!"/>
    <n v="1430"/>
    <n v="376"/>
    <n v="33"/>
    <n v="21450"/>
    <n v="20509"/>
    <n v="251"/>
    <s v="#LiveForNow"/>
    <x v="0"/>
    <s v="#LiveForNow"/>
    <m/>
    <m/>
    <n v="8.5734265734265735E-2"/>
    <n v="1839"/>
  </r>
  <r>
    <s v="P232"/>
    <s v="Twitter"/>
    <s v="2025-04-29"/>
    <s v="Story"/>
    <s v="Check out our latest story on twitter!"/>
    <n v="249"/>
    <n v="592"/>
    <n v="230"/>
    <n v="1494"/>
    <n v="1044"/>
    <n v="201"/>
    <s v="#ThirstyForMore"/>
    <x v="3"/>
    <s v="#ThirstyForMore"/>
    <m/>
    <m/>
    <n v="0.7168674698795181"/>
    <n v="1071"/>
  </r>
  <r>
    <s v="P233"/>
    <s v="Facebook"/>
    <s v="2025-03-08"/>
    <s v="Image"/>
    <s v="Check out our latest image on facebook!"/>
    <n v="2382"/>
    <n v="265"/>
    <n v="134"/>
    <n v="38112"/>
    <n v="37437"/>
    <n v="249"/>
    <s v="#LiveForNow"/>
    <x v="3"/>
    <s v="#LiveForNow"/>
    <m/>
    <m/>
    <n v="7.2969143576826198E-2"/>
    <n v="2781"/>
  </r>
  <r>
    <s v="P234"/>
    <s v="Facebook"/>
    <s v="2024-06-01"/>
    <s v="Text"/>
    <s v="Check out our latest text on facebook!"/>
    <n v="1272"/>
    <n v="465"/>
    <n v="99"/>
    <n v="24168"/>
    <n v="23719"/>
    <n v="42"/>
    <s v="#PepsiCoRefresh"/>
    <x v="4"/>
    <s v="#PepsiCoRefresh"/>
    <m/>
    <m/>
    <n v="7.5968222442899705E-2"/>
    <n v="1836"/>
  </r>
  <r>
    <s v="P235"/>
    <s v="Facebook"/>
    <s v="2024-12-22"/>
    <s v="Image"/>
    <s v="Check out our latest image on facebook!"/>
    <n v="3196"/>
    <n v="941"/>
    <n v="376"/>
    <n v="35156"/>
    <n v="34444"/>
    <n v="241"/>
    <s v="#PepsiCoRefresh"/>
    <x v="2"/>
    <s v="#PepsiCoRefresh"/>
    <m/>
    <m/>
    <n v="0.1283706906360223"/>
    <n v="4513"/>
  </r>
  <r>
    <s v="P236"/>
    <s v="Facebook"/>
    <s v="2024-08-19"/>
    <s v="Text"/>
    <s v="Check out our latest text on facebook!"/>
    <n v="1257"/>
    <n v="19"/>
    <n v="351"/>
    <n v="12570"/>
    <n v="11660"/>
    <n v="194"/>
    <s v="#LiveForNow,#AnytimeIsPepsiTime,#ThirstyForMore"/>
    <x v="1"/>
    <s v="#LiveForNow"/>
    <s v="#AnytimeIsPepsiTime"/>
    <s v="#ThirstyForMore"/>
    <n v="0.12943516308671441"/>
    <n v="1627"/>
  </r>
  <r>
    <s v="P237"/>
    <s v="Instagram"/>
    <s v="2024-10-22"/>
    <s v="Story"/>
    <s v="Check out our latest story on instagram!"/>
    <n v="3770"/>
    <n v="917"/>
    <n v="129"/>
    <n v="71630"/>
    <n v="71322"/>
    <n v="76"/>
    <s v="#LiveForNow"/>
    <x v="0"/>
    <s v="#LiveForNow"/>
    <m/>
    <m/>
    <n v="6.7234398994834563E-2"/>
    <n v="4816"/>
  </r>
  <r>
    <s v="P238"/>
    <s v="Twitter"/>
    <s v="2024-07-16"/>
    <s v="Text"/>
    <s v="Check out our latest text on twitter!"/>
    <n v="4725"/>
    <n v="400"/>
    <n v="362"/>
    <n v="75600"/>
    <n v="74927"/>
    <n v="43"/>
    <s v="#LiveForNow"/>
    <x v="3"/>
    <s v="#LiveForNow"/>
    <m/>
    <m/>
    <n v="7.2579365079365077E-2"/>
    <n v="5487"/>
  </r>
  <r>
    <s v="P239"/>
    <s v="YouTube"/>
    <s v="2025-02-24"/>
    <s v="Text"/>
    <s v="Check out our latest text on youtube!"/>
    <n v="4188"/>
    <n v="942"/>
    <n v="118"/>
    <n v="20940"/>
    <n v="20471"/>
    <n v="102"/>
    <s v="#LiveForNow"/>
    <x v="4"/>
    <s v="#LiveForNow"/>
    <m/>
    <m/>
    <n v="0.25062082139446035"/>
    <n v="5248"/>
  </r>
  <r>
    <s v="P240"/>
    <s v="Twitter"/>
    <s v="2024-08-26"/>
    <s v="Carousel"/>
    <s v="Check out our latest carousel on twitter!"/>
    <n v="929"/>
    <n v="192"/>
    <n v="322"/>
    <n v="16722"/>
    <n v="15996"/>
    <n v="145"/>
    <s v="#ThirstyForMore,#PepsiCoRefresh,#AnytimeIsPepsiTime"/>
    <x v="2"/>
    <s v="#ThirstyForMore"/>
    <s v="#PepsiCoRefresh"/>
    <s v="#AnytimeIsPepsiTime"/>
    <n v="8.6293505561535699E-2"/>
    <n v="1443"/>
  </r>
  <r>
    <s v="P241"/>
    <s v="Facebook"/>
    <s v="2025-01-18"/>
    <s v="Story"/>
    <s v="Check out our latest story on facebook!"/>
    <n v="4321"/>
    <n v="874"/>
    <n v="172"/>
    <n v="30247"/>
    <n v="29254"/>
    <n v="122"/>
    <s v="#PepsiCoRefresh"/>
    <x v="3"/>
    <s v="#PepsiCoRefresh"/>
    <m/>
    <m/>
    <n v="0.17743908486792079"/>
    <n v="5367"/>
  </r>
  <r>
    <s v="P242"/>
    <s v="Facebook"/>
    <s v="2024-07-07"/>
    <s v="Reel"/>
    <s v="Check out our latest reel on facebook!"/>
    <n v="4767"/>
    <n v="190"/>
    <n v="340"/>
    <n v="28602"/>
    <n v="28044"/>
    <n v="210"/>
    <s v="#ThirstyForMore"/>
    <x v="2"/>
    <s v="#ThirstyForMore"/>
    <m/>
    <m/>
    <n v="0.18519683938186141"/>
    <n v="5297"/>
  </r>
  <r>
    <s v="P243"/>
    <s v="Twitter"/>
    <s v="2025-03-06"/>
    <s v="Image"/>
    <s v="Check out our latest image on twitter!"/>
    <n v="3592"/>
    <n v="911"/>
    <n v="375"/>
    <n v="50288"/>
    <n v="49490"/>
    <n v="32"/>
    <s v="#LiveForNow"/>
    <x v="3"/>
    <s v="#LiveForNow"/>
    <m/>
    <m/>
    <n v="9.7001272669424113E-2"/>
    <n v="4878"/>
  </r>
  <r>
    <s v="P244"/>
    <s v="YouTube"/>
    <s v="2024-10-25"/>
    <s v="Video"/>
    <s v="Check out our latest video on youtube!"/>
    <n v="4661"/>
    <n v="935"/>
    <n v="433"/>
    <n v="23305"/>
    <n v="22583"/>
    <n v="63"/>
    <s v="#LiveForNow"/>
    <x v="2"/>
    <s v="#LiveForNow"/>
    <m/>
    <m/>
    <n v="0.25869984981763572"/>
    <n v="6029"/>
  </r>
  <r>
    <s v="P245"/>
    <s v="Facebook"/>
    <s v="2025-01-12"/>
    <s v="Reel"/>
    <s v="Check out our latest reel on facebook!"/>
    <n v="4134"/>
    <n v="824"/>
    <n v="99"/>
    <n v="41340"/>
    <n v="41050"/>
    <n v="177"/>
    <s v="#ThirstyForMore"/>
    <x v="0"/>
    <s v="#ThirstyForMore"/>
    <m/>
    <m/>
    <n v="0.12232704402515723"/>
    <n v="5057"/>
  </r>
  <r>
    <s v="P246"/>
    <s v="Facebook"/>
    <s v="2024-10-11"/>
    <s v="Image"/>
    <s v="Check out our latest image on facebook!"/>
    <n v="400"/>
    <n v="680"/>
    <n v="434"/>
    <n v="6400"/>
    <n v="5472"/>
    <n v="160"/>
    <s v="#LiveForNow"/>
    <x v="1"/>
    <s v="#LiveForNow"/>
    <m/>
    <m/>
    <n v="0.23656250000000001"/>
    <n v="1514"/>
  </r>
  <r>
    <s v="P247"/>
    <s v="Facebook"/>
    <s v="2024-08-27"/>
    <s v="Reel"/>
    <s v="Check out our latest reel on facebook!"/>
    <n v="3960"/>
    <n v="266"/>
    <n v="8"/>
    <n v="35640"/>
    <n v="34850"/>
    <n v="208"/>
    <s v="#LiveForNow,#ThirstyForMore,#BetterWithPepsi"/>
    <x v="4"/>
    <s v="#LiveForNow"/>
    <s v="#ThirstyForMore"/>
    <s v="#BetterWithPepsi"/>
    <n v="0.11879910213243547"/>
    <n v="4234"/>
  </r>
  <r>
    <s v="P248"/>
    <s v="Facebook"/>
    <s v="2025-02-02"/>
    <s v="Story"/>
    <s v="Check out our latest story on facebook!"/>
    <n v="886"/>
    <n v="126"/>
    <n v="153"/>
    <n v="4430"/>
    <n v="4037"/>
    <n v="212"/>
    <s v="#ThirstyForMore"/>
    <x v="4"/>
    <s v="#ThirstyForMore"/>
    <m/>
    <m/>
    <n v="0.26297968397291194"/>
    <n v="1165"/>
  </r>
  <r>
    <s v="P249"/>
    <s v="Twitter"/>
    <s v="2024-07-18"/>
    <s v="Image"/>
    <s v="Check out our latest image on twitter!"/>
    <n v="827"/>
    <n v="77"/>
    <n v="402"/>
    <n v="14886"/>
    <n v="14129"/>
    <n v="254"/>
    <s v="#ThirstyForMore"/>
    <x v="1"/>
    <s v="#ThirstyForMore"/>
    <m/>
    <m/>
    <n v="8.7733440816874911E-2"/>
    <n v="1306"/>
  </r>
  <r>
    <s v="P250"/>
    <s v="Facebook"/>
    <s v="2024-06-22"/>
    <s v="Reel"/>
    <s v="Check out our latest reel on facebook!"/>
    <n v="3813"/>
    <n v="935"/>
    <n v="274"/>
    <n v="68634"/>
    <n v="68488"/>
    <n v="251"/>
    <s v="#LiveForNow"/>
    <x v="4"/>
    <s v="#LiveForNow"/>
    <m/>
    <m/>
    <n v="7.3170731707317069E-2"/>
    <n v="5022"/>
  </r>
  <r>
    <s v="P251"/>
    <s v="Instagram"/>
    <s v="2025-03-27"/>
    <s v="Carousel"/>
    <s v="Check out our latest carousel on instagram!"/>
    <n v="1377"/>
    <n v="796"/>
    <n v="387"/>
    <n v="22032"/>
    <n v="21869"/>
    <n v="189"/>
    <s v="#LiveForNow"/>
    <x v="4"/>
    <s v="#LiveForNow"/>
    <m/>
    <m/>
    <n v="0.11619462599854757"/>
    <n v="2560"/>
  </r>
  <r>
    <s v="P252"/>
    <s v="Facebook"/>
    <s v="2025-04-28"/>
    <s v="Carousel"/>
    <s v="Check out our latest carousel on facebook!"/>
    <n v="2089"/>
    <n v="476"/>
    <n v="69"/>
    <n v="16712"/>
    <n v="16309"/>
    <n v="64"/>
    <s v="#LiveForNow"/>
    <x v="2"/>
    <s v="#LiveForNow"/>
    <m/>
    <m/>
    <n v="0.15761129727142173"/>
    <n v="2634"/>
  </r>
  <r>
    <s v="P253"/>
    <s v="Twitter"/>
    <s v="2024-08-03"/>
    <s v="Reel"/>
    <s v="Check out our latest reel on twitter!"/>
    <n v="3791"/>
    <n v="593"/>
    <n v="228"/>
    <n v="53074"/>
    <n v="52613"/>
    <n v="205"/>
    <s v="#ThirstyForMore"/>
    <x v="4"/>
    <s v="#ThirstyForMore"/>
    <m/>
    <m/>
    <n v="8.6897539284772202E-2"/>
    <n v="4612"/>
  </r>
  <r>
    <s v="P254"/>
    <s v="Twitter"/>
    <s v="2025-01-14"/>
    <s v="Image"/>
    <s v="Check out our latest image on twitter!"/>
    <n v="2692"/>
    <n v="115"/>
    <n v="64"/>
    <n v="21536"/>
    <n v="21120"/>
    <n v="224"/>
    <s v="#LiveForNow"/>
    <x v="1"/>
    <s v="#LiveForNow"/>
    <m/>
    <m/>
    <n v="0.13331166419019316"/>
    <n v="2871"/>
  </r>
  <r>
    <s v="P255"/>
    <s v="Facebook"/>
    <s v="2025-04-03"/>
    <s v="Story"/>
    <s v="Check out our latest story on facebook!"/>
    <n v="3767"/>
    <n v="514"/>
    <n v="238"/>
    <n v="37670"/>
    <n v="36807"/>
    <n v="226"/>
    <s v="#LiveForNow"/>
    <x v="3"/>
    <s v="#LiveForNow"/>
    <m/>
    <m/>
    <n v="0.11996283514733209"/>
    <n v="4519"/>
  </r>
  <r>
    <s v="P256"/>
    <s v="YouTube"/>
    <s v="2024-09-18"/>
    <s v="Carousel"/>
    <s v="Check out our latest carousel on youtube!"/>
    <n v="2143"/>
    <n v="12"/>
    <n v="204"/>
    <n v="40717"/>
    <n v="40125"/>
    <n v="248"/>
    <s v="#ThirstyForMore"/>
    <x v="1"/>
    <s v="#ThirstyForMore"/>
    <m/>
    <m/>
    <n v="5.7936488444630008E-2"/>
    <n v="2359"/>
  </r>
  <r>
    <s v="P257"/>
    <s v="Facebook"/>
    <s v="2025-04-06"/>
    <s v="Image"/>
    <s v="Check out our latest image on facebook!"/>
    <n v="3090"/>
    <n v="697"/>
    <n v="164"/>
    <n v="49440"/>
    <n v="48524"/>
    <n v="25"/>
    <s v="#ThirstyForMore,#ThirstyForMore,#BetterWithPepsi"/>
    <x v="1"/>
    <s v="#ThirstyForMore"/>
    <s v="#ThirstyForMore"/>
    <s v="#BetterWithPepsi"/>
    <n v="7.9915048543689318E-2"/>
    <n v="3951"/>
  </r>
  <r>
    <s v="P258"/>
    <s v="Instagram"/>
    <s v="2024-08-05"/>
    <s v="Story"/>
    <s v="Check out our latest story on instagram!"/>
    <n v="3601"/>
    <n v="695"/>
    <n v="75"/>
    <n v="21606"/>
    <n v="21454"/>
    <n v="172"/>
    <s v="#ThirstyForMore"/>
    <x v="1"/>
    <s v="#ThirstyForMore"/>
    <m/>
    <m/>
    <n v="0.2023049153013052"/>
    <n v="4371"/>
  </r>
  <r>
    <s v="P259"/>
    <s v="Facebook"/>
    <s v="2025-02-10"/>
    <s v="Text"/>
    <s v="Check out our latest text on facebook!"/>
    <n v="562"/>
    <n v="158"/>
    <n v="149"/>
    <n v="3372"/>
    <n v="2940"/>
    <n v="93"/>
    <s v="#PepsiCoRefresh"/>
    <x v="0"/>
    <s v="#PepsiCoRefresh"/>
    <m/>
    <m/>
    <n v="0.25771055753262156"/>
    <n v="869"/>
  </r>
  <r>
    <s v="P260"/>
    <s v="Instagram"/>
    <s v="2025-02-12"/>
    <s v="Story"/>
    <s v="Check out our latest story on instagram!"/>
    <n v="4332"/>
    <n v="771"/>
    <n v="219"/>
    <n v="60648"/>
    <n v="60397"/>
    <n v="10"/>
    <s v="#PepsiCoRefresh,#ThirstyForMore,#BetterWithPepsi"/>
    <x v="2"/>
    <s v="#PepsiCoRefresh"/>
    <s v="#ThirstyForMore"/>
    <s v="#BetterWithPepsi"/>
    <n v="8.7752275425405618E-2"/>
    <n v="5322"/>
  </r>
  <r>
    <s v="P261"/>
    <s v="Instagram"/>
    <s v="2024-10-27"/>
    <s v="Image"/>
    <s v="Check out our latest image on instagram!"/>
    <n v="4853"/>
    <n v="837"/>
    <n v="340"/>
    <n v="72795"/>
    <n v="72237"/>
    <n v="170"/>
    <s v="#ThirstyForMore"/>
    <x v="0"/>
    <s v="#ThirstyForMore"/>
    <m/>
    <m/>
    <n v="8.2835359571399134E-2"/>
    <n v="6030"/>
  </r>
  <r>
    <s v="P262"/>
    <s v="YouTube"/>
    <s v="2025-01-18"/>
    <s v="Image"/>
    <s v="Check out our latest image on youtube!"/>
    <n v="1206"/>
    <n v="238"/>
    <n v="36"/>
    <n v="9648"/>
    <n v="9417"/>
    <n v="237"/>
    <s v="#PepsiCoRefresh"/>
    <x v="4"/>
    <s v="#PepsiCoRefresh"/>
    <m/>
    <m/>
    <n v="0.15339966832504145"/>
    <n v="1480"/>
  </r>
  <r>
    <s v="P263"/>
    <s v="Instagram"/>
    <s v="2024-08-20"/>
    <s v="Reel"/>
    <s v="Check out our latest reel on instagram!"/>
    <n v="2603"/>
    <n v="690"/>
    <n v="205"/>
    <n v="13015"/>
    <n v="12130"/>
    <n v="20"/>
    <s v="#LiveForNow"/>
    <x v="1"/>
    <s v="#LiveForNow"/>
    <m/>
    <m/>
    <n v="0.26876680752977333"/>
    <n v="3498"/>
  </r>
  <r>
    <s v="P264"/>
    <s v="Twitter"/>
    <s v="2025-01-30"/>
    <s v="Image"/>
    <s v="Check out our latest image on twitter!"/>
    <n v="59"/>
    <n v="163"/>
    <n v="93"/>
    <n v="590"/>
    <n v="475"/>
    <n v="293"/>
    <s v="#PepsiCoRefresh"/>
    <x v="1"/>
    <s v="#PepsiCoRefresh"/>
    <m/>
    <m/>
    <n v="0.53389830508474578"/>
    <n v="315"/>
  </r>
  <r>
    <s v="P265"/>
    <s v="Twitter"/>
    <s v="2025-02-20"/>
    <s v="Carousel"/>
    <s v="Check out our latest carousel on twitter!"/>
    <n v="1877"/>
    <n v="745"/>
    <n v="225"/>
    <n v="11262"/>
    <n v="10967"/>
    <n v="41"/>
    <s v="#ThirstyForMore"/>
    <x v="3"/>
    <s v="#ThirstyForMore"/>
    <m/>
    <m/>
    <n v="0.25279701651571657"/>
    <n v="2847"/>
  </r>
  <r>
    <s v="P266"/>
    <s v="Facebook"/>
    <s v="2024-11-25"/>
    <s v="Story"/>
    <s v="Check out our latest story on facebook!"/>
    <n v="4182"/>
    <n v="640"/>
    <n v="240"/>
    <n v="50184"/>
    <n v="49351"/>
    <n v="10"/>
    <s v="#PepsiCoRefresh"/>
    <x v="2"/>
    <s v="#PepsiCoRefresh"/>
    <m/>
    <m/>
    <n v="0.10086880280567512"/>
    <n v="5062"/>
  </r>
  <r>
    <s v="P267"/>
    <s v="Twitter"/>
    <s v="2024-10-04"/>
    <s v="Reel"/>
    <s v="Check out our latest reel on twitter!"/>
    <n v="4187"/>
    <n v="66"/>
    <n v="31"/>
    <n v="66992"/>
    <n v="66614"/>
    <n v="62"/>
    <s v="#LiveForNow"/>
    <x v="4"/>
    <s v="#LiveForNow"/>
    <m/>
    <m/>
    <n v="6.3947934081681396E-2"/>
    <n v="4284"/>
  </r>
  <r>
    <s v="P268"/>
    <s v="Instagram"/>
    <s v="2025-04-13"/>
    <s v="Reel"/>
    <s v="Check out our latest reel on instagram!"/>
    <n v="4579"/>
    <n v="125"/>
    <n v="300"/>
    <n v="59527"/>
    <n v="59400"/>
    <n v="269"/>
    <s v="#ThirstyForMore"/>
    <x v="0"/>
    <s v="#ThirstyForMore"/>
    <m/>
    <m/>
    <n v="8.4062694239588759E-2"/>
    <n v="5004"/>
  </r>
  <r>
    <s v="P269"/>
    <s v="Instagram"/>
    <s v="2024-11-05"/>
    <s v="Video"/>
    <s v="Check out our latest video on instagram!"/>
    <n v="4561"/>
    <n v="51"/>
    <n v="441"/>
    <n v="22805"/>
    <n v="21890"/>
    <n v="45"/>
    <s v="#PepsiCoRefresh"/>
    <x v="1"/>
    <s v="#PepsiCoRefresh"/>
    <m/>
    <m/>
    <n v="0.22157421618066214"/>
    <n v="5053"/>
  </r>
  <r>
    <s v="P270"/>
    <s v="YouTube"/>
    <s v="2025-01-15"/>
    <s v="Reel"/>
    <s v="Check out our latest reel on youtube!"/>
    <n v="3774"/>
    <n v="239"/>
    <n v="39"/>
    <n v="60384"/>
    <n v="59490"/>
    <n v="241"/>
    <s v="#PepsiCoRefresh"/>
    <x v="2"/>
    <s v="#PepsiCoRefresh"/>
    <m/>
    <m/>
    <n v="6.7103868574456813E-2"/>
    <n v="4052"/>
  </r>
  <r>
    <s v="P271"/>
    <s v="Instagram"/>
    <s v="2024-10-17"/>
    <s v="Video"/>
    <s v="Check out our latest video on instagram!"/>
    <n v="3575"/>
    <n v="749"/>
    <n v="111"/>
    <n v="21450"/>
    <n v="20785"/>
    <n v="195"/>
    <s v="#ThirstyForMore"/>
    <x v="1"/>
    <s v="#ThirstyForMore"/>
    <m/>
    <m/>
    <n v="0.20675990675990677"/>
    <n v="4435"/>
  </r>
  <r>
    <s v="P272"/>
    <s v="Instagram"/>
    <s v="2025-03-27"/>
    <s v="Text"/>
    <s v="Check out our latest text on instagram!"/>
    <n v="4941"/>
    <n v="414"/>
    <n v="266"/>
    <n v="39528"/>
    <n v="39154"/>
    <n v="217"/>
    <s v="#PepsiCoRefresh"/>
    <x v="2"/>
    <s v="#PepsiCoRefresh"/>
    <m/>
    <m/>
    <n v="0.14220299534507186"/>
    <n v="5621"/>
  </r>
  <r>
    <s v="P273"/>
    <s v="YouTube"/>
    <s v="2024-10-12"/>
    <s v="Story"/>
    <s v="Check out our latest story on youtube!"/>
    <n v="3641"/>
    <n v="226"/>
    <n v="46"/>
    <n v="40051"/>
    <n v="39319"/>
    <n v="296"/>
    <s v="#ThirstyForMore"/>
    <x v="3"/>
    <s v="#ThirstyForMore"/>
    <m/>
    <m/>
    <n v="9.7700431949264685E-2"/>
    <n v="3913"/>
  </r>
  <r>
    <s v="P274"/>
    <s v="Twitter"/>
    <s v="2025-01-01"/>
    <s v="Carousel"/>
    <s v="Check out our latest carousel on twitter!"/>
    <n v="3535"/>
    <n v="494"/>
    <n v="152"/>
    <n v="53025"/>
    <n v="52791"/>
    <n v="44"/>
    <s v="#PepsiCoRefresh"/>
    <x v="3"/>
    <s v="#PepsiCoRefresh"/>
    <m/>
    <m/>
    <n v="7.8849599245638849E-2"/>
    <n v="4181"/>
  </r>
  <r>
    <s v="P275"/>
    <s v="Facebook"/>
    <s v="2024-08-05"/>
    <s v="Reel"/>
    <s v="Check out our latest reel on facebook!"/>
    <n v="1741"/>
    <n v="831"/>
    <n v="345"/>
    <n v="17410"/>
    <n v="16844"/>
    <n v="58"/>
    <s v="#ThirstyForMore"/>
    <x v="2"/>
    <s v="#ThirstyForMore"/>
    <m/>
    <m/>
    <n v="0.16754738655944859"/>
    <n v="2917"/>
  </r>
  <r>
    <s v="P276"/>
    <s v="Twitter"/>
    <s v="2024-06-07"/>
    <s v="Carousel"/>
    <s v="Check out our latest carousel on twitter!"/>
    <n v="1556"/>
    <n v="195"/>
    <n v="131"/>
    <n v="9336"/>
    <n v="8875"/>
    <n v="137"/>
    <s v="#PepsiCoRefresh"/>
    <x v="1"/>
    <s v="#PepsiCoRefresh"/>
    <m/>
    <m/>
    <n v="0.2015852613538989"/>
    <n v="1882"/>
  </r>
  <r>
    <s v="P277"/>
    <s v="Facebook"/>
    <s v="2025-04-06"/>
    <s v="Image"/>
    <s v="Check out our latest image on facebook!"/>
    <n v="4236"/>
    <n v="711"/>
    <n v="298"/>
    <n v="21180"/>
    <n v="20516"/>
    <n v="238"/>
    <s v="#LiveForNow"/>
    <x v="0"/>
    <s v="#LiveForNow"/>
    <m/>
    <m/>
    <n v="0.24763928234183191"/>
    <n v="5245"/>
  </r>
  <r>
    <s v="P278"/>
    <s v="Twitter"/>
    <s v="2024-11-26"/>
    <s v="Text"/>
    <s v="Check out our latest text on twitter!"/>
    <n v="4516"/>
    <n v="836"/>
    <n v="169"/>
    <n v="49676"/>
    <n v="49257"/>
    <n v="282"/>
    <s v="#ThirstyForMore"/>
    <x v="3"/>
    <s v="#ThirstyForMore"/>
    <m/>
    <m/>
    <n v="0.11114018842096787"/>
    <n v="5521"/>
  </r>
  <r>
    <s v="P279"/>
    <s v="YouTube"/>
    <s v="2024-09-02"/>
    <s v="Image"/>
    <s v="Check out our latest image on youtube!"/>
    <n v="4905"/>
    <n v="845"/>
    <n v="129"/>
    <n v="98100"/>
    <n v="97772"/>
    <n v="279"/>
    <s v="#PepsiCoRefresh"/>
    <x v="1"/>
    <s v="#PepsiCoRefresh"/>
    <m/>
    <m/>
    <n v="5.9928644240570844E-2"/>
    <n v="5879"/>
  </r>
  <r>
    <s v="P280"/>
    <s v="YouTube"/>
    <s v="2024-10-21"/>
    <s v="Video"/>
    <s v="Check out our latest video on youtube!"/>
    <n v="4275"/>
    <n v="680"/>
    <n v="385"/>
    <n v="64125"/>
    <n v="63650"/>
    <n v="104"/>
    <s v="#ThirstyForMore,#PepsiCoRefresh,#AnytimeIsPepsiTime"/>
    <x v="3"/>
    <s v="#ThirstyForMore"/>
    <s v="#PepsiCoRefresh"/>
    <s v="#AnytimeIsPepsiTime"/>
    <n v="8.3274853801169585E-2"/>
    <n v="5340"/>
  </r>
  <r>
    <s v="P281"/>
    <s v="YouTube"/>
    <s v="2025-03-22"/>
    <s v="Image"/>
    <s v="Check out our latest image on youtube!"/>
    <n v="3166"/>
    <n v="90"/>
    <n v="341"/>
    <n v="56988"/>
    <n v="56125"/>
    <n v="135"/>
    <s v="#ThirstyForMore"/>
    <x v="1"/>
    <s v="#ThirstyForMore"/>
    <m/>
    <m/>
    <n v="6.3118551273952411E-2"/>
    <n v="3597"/>
  </r>
  <r>
    <s v="P282"/>
    <s v="Instagram"/>
    <s v="2024-10-03"/>
    <s v="Video"/>
    <s v="Check out our latest video on instagram!"/>
    <n v="1488"/>
    <n v="417"/>
    <n v="168"/>
    <n v="19344"/>
    <n v="18395"/>
    <n v="30"/>
    <s v="#LiveForNow"/>
    <x v="2"/>
    <s v="#LiveForNow"/>
    <m/>
    <m/>
    <n v="0.1071650124069479"/>
    <n v="2073"/>
  </r>
  <r>
    <s v="P283"/>
    <s v="Twitter"/>
    <s v="2025-05-09"/>
    <s v="Reel"/>
    <s v="Check out our latest reel on twitter!"/>
    <n v="3367"/>
    <n v="302"/>
    <n v="57"/>
    <n v="63973"/>
    <n v="63789"/>
    <n v="157"/>
    <s v="#LiveForNow"/>
    <x v="1"/>
    <s v="#LiveForNow"/>
    <m/>
    <m/>
    <n v="5.8243321401216137E-2"/>
    <n v="3726"/>
  </r>
  <r>
    <s v="P284"/>
    <s v="Twitter"/>
    <s v="2024-09-17"/>
    <s v="Text"/>
    <s v="Check out our latest text on twitter!"/>
    <n v="571"/>
    <n v="190"/>
    <n v="352"/>
    <n v="9707"/>
    <n v="9418"/>
    <n v="231"/>
    <s v="#PepsiCoRefresh"/>
    <x v="3"/>
    <s v="#PepsiCoRefresh"/>
    <m/>
    <m/>
    <n v="0.11465952405480581"/>
    <n v="1113"/>
  </r>
  <r>
    <s v="P285"/>
    <s v="YouTube"/>
    <s v="2024-07-18"/>
    <s v="Text"/>
    <s v="Check out our latest text on youtube!"/>
    <n v="4021"/>
    <n v="794"/>
    <n v="77"/>
    <n v="36189"/>
    <n v="35505"/>
    <n v="174"/>
    <s v="#ThirstyForMore"/>
    <x v="4"/>
    <s v="#ThirstyForMore"/>
    <m/>
    <m/>
    <n v="0.13517919809886983"/>
    <n v="4892"/>
  </r>
  <r>
    <s v="P286"/>
    <s v="YouTube"/>
    <s v="2024-09-25"/>
    <s v="Video"/>
    <s v="Check out our latest video on youtube!"/>
    <n v="3389"/>
    <n v="344"/>
    <n v="229"/>
    <n v="20334"/>
    <n v="19443"/>
    <n v="228"/>
    <s v="#LiveForNow"/>
    <x v="2"/>
    <s v="#LiveForNow"/>
    <m/>
    <m/>
    <n v="0.19484607062063539"/>
    <n v="3962"/>
  </r>
  <r>
    <s v="P287"/>
    <s v="Instagram"/>
    <s v="2024-08-15"/>
    <s v="Reel"/>
    <s v="Check out our latest reel on instagram!"/>
    <n v="1164"/>
    <n v="616"/>
    <n v="324"/>
    <n v="6984"/>
    <n v="6636"/>
    <n v="82"/>
    <s v="#ThirstyForMore"/>
    <x v="0"/>
    <s v="#ThirstyForMore"/>
    <m/>
    <m/>
    <n v="0.30126002290950743"/>
    <n v="2104"/>
  </r>
  <r>
    <s v="P288"/>
    <s v="YouTube"/>
    <s v="2025-04-17"/>
    <s v="Carousel"/>
    <s v="Check out our latest carousel on youtube!"/>
    <n v="4780"/>
    <n v="691"/>
    <n v="380"/>
    <n v="86040"/>
    <n v="85743"/>
    <n v="262"/>
    <s v="#LiveForNow"/>
    <x v="2"/>
    <s v="#LiveForNow"/>
    <m/>
    <m/>
    <n v="6.800325430032543E-2"/>
    <n v="5851"/>
  </r>
  <r>
    <s v="P289"/>
    <s v="Facebook"/>
    <s v="2024-11-28"/>
    <s v="Carousel"/>
    <s v="Check out our latest carousel on facebook!"/>
    <n v="2751"/>
    <n v="33"/>
    <n v="430"/>
    <n v="44016"/>
    <n v="43415"/>
    <n v="129"/>
    <s v="#LiveForNow"/>
    <x v="4"/>
    <s v="#LiveForNow"/>
    <m/>
    <m/>
    <n v="7.3018902217375503E-2"/>
    <n v="3214"/>
  </r>
  <r>
    <s v="P290"/>
    <s v="Instagram"/>
    <s v="2024-12-20"/>
    <s v="Carousel"/>
    <s v="Check out our latest carousel on instagram!"/>
    <n v="2107"/>
    <n v="550"/>
    <n v="349"/>
    <n v="35819"/>
    <n v="35340"/>
    <n v="191"/>
    <s v="#ThirstyForMore"/>
    <x v="3"/>
    <s v="#ThirstyForMore"/>
    <m/>
    <m/>
    <n v="8.3921940869371006E-2"/>
    <n v="3006"/>
  </r>
  <r>
    <s v="P291"/>
    <s v="Facebook"/>
    <s v="2024-11-06"/>
    <s v="Video"/>
    <s v="Check out our latest video on facebook!"/>
    <n v="4663"/>
    <n v="145"/>
    <n v="225"/>
    <n v="69945"/>
    <n v="69596"/>
    <n v="35"/>
    <s v="#ThirstyForMore"/>
    <x v="3"/>
    <s v="#ThirstyForMore"/>
    <m/>
    <m/>
    <n v="7.1956537279290869E-2"/>
    <n v="5033"/>
  </r>
  <r>
    <s v="P292"/>
    <s v="Facebook"/>
    <s v="2024-11-17"/>
    <s v="Text"/>
    <s v="Check out our latest text on facebook!"/>
    <n v="880"/>
    <n v="297"/>
    <n v="345"/>
    <n v="12320"/>
    <n v="11978"/>
    <n v="238"/>
    <s v="#PepsiCoRefresh,#AnytimeIsPepsiTime"/>
    <x v="4"/>
    <s v="#PepsiCoRefresh"/>
    <s v="#AnytimeIsPepsiTime"/>
    <m/>
    <n v="0.12353896103896105"/>
    <n v="1522"/>
  </r>
  <r>
    <s v="P293"/>
    <s v="Facebook"/>
    <s v="2025-05-14"/>
    <s v="Text"/>
    <s v="Check out our latest text on facebook!"/>
    <n v="2634"/>
    <n v="726"/>
    <n v="241"/>
    <n v="28974"/>
    <n v="28102"/>
    <n v="277"/>
    <s v="#ThirstyForMore"/>
    <x v="0"/>
    <s v="#ThirstyForMore"/>
    <m/>
    <m/>
    <n v="0.12428384068475185"/>
    <n v="3601"/>
  </r>
  <r>
    <s v="P294"/>
    <s v="Facebook"/>
    <s v="2024-06-19"/>
    <s v="Carousel"/>
    <s v="Check out our latest carousel on facebook!"/>
    <n v="4731"/>
    <n v="173"/>
    <n v="276"/>
    <n v="28386"/>
    <n v="28185"/>
    <n v="89"/>
    <s v="#ThirstyForMore"/>
    <x v="2"/>
    <s v="#ThirstyForMore"/>
    <m/>
    <m/>
    <n v="0.18248432325794406"/>
    <n v="5180"/>
  </r>
  <r>
    <s v="P295"/>
    <s v="Twitter"/>
    <s v="2025-05-06"/>
    <s v="Image"/>
    <s v="Check out our latest image on twitter!"/>
    <n v="1952"/>
    <n v="344"/>
    <n v="287"/>
    <n v="15616"/>
    <n v="15403"/>
    <n v="235"/>
    <s v="#LiveForNow,#PepsiCoRefresh,#AnytimeIsPepsiTime"/>
    <x v="1"/>
    <s v="#LiveForNow"/>
    <s v="#PepsiCoRefresh"/>
    <s v="#AnytimeIsPepsiTime"/>
    <n v="0.16540727459016394"/>
    <n v="2583"/>
  </r>
  <r>
    <s v="P296"/>
    <s v="Twitter"/>
    <s v="2025-02-11"/>
    <s v="Video"/>
    <s v="Check out our latest video on twitter!"/>
    <n v="3440"/>
    <n v="13"/>
    <n v="20"/>
    <n v="58480"/>
    <n v="58146"/>
    <n v="210"/>
    <s v="#PepsiCoRefresh,#SmoothLikeNitroPepsi"/>
    <x v="3"/>
    <s v="#PepsiCoRefresh"/>
    <s v="#SmoothLikeNitroPepsi"/>
    <m/>
    <n v="5.9387824897400819E-2"/>
    <n v="3473"/>
  </r>
  <r>
    <s v="P297"/>
    <s v="Twitter"/>
    <s v="2024-12-24"/>
    <s v="Text"/>
    <s v="Check out our latest text on twitter!"/>
    <n v="2166"/>
    <n v="354"/>
    <n v="117"/>
    <n v="10830"/>
    <n v="10245"/>
    <n v="24"/>
    <s v="#ThirstyForMore"/>
    <x v="3"/>
    <s v="#ThirstyForMore"/>
    <m/>
    <m/>
    <n v="0.24349030470914126"/>
    <n v="2637"/>
  </r>
  <r>
    <s v="P298"/>
    <s v="Facebook"/>
    <s v="2024-10-24"/>
    <s v="Image"/>
    <s v="Check out our latest image on facebook!"/>
    <n v="4303"/>
    <n v="451"/>
    <n v="286"/>
    <n v="86060"/>
    <n v="85823"/>
    <n v="14"/>
    <s v="#PepsiCoRefresh"/>
    <x v="2"/>
    <s v="#PepsiCoRefresh"/>
    <m/>
    <m/>
    <n v="5.8563792702765516E-2"/>
    <n v="5040"/>
  </r>
  <r>
    <s v="P299"/>
    <s v="Facebook"/>
    <s v="2024-08-26"/>
    <s v="Image"/>
    <s v="Check out our latest image on facebook!"/>
    <n v="2581"/>
    <n v="517"/>
    <n v="117"/>
    <n v="23229"/>
    <n v="22331"/>
    <n v="70"/>
    <s v="#LiveForNow"/>
    <x v="2"/>
    <s v="#LiveForNow"/>
    <m/>
    <m/>
    <n v="0.13840458048129492"/>
    <n v="3215"/>
  </r>
  <r>
    <s v="P300"/>
    <s v="Twitter"/>
    <s v="2024-08-31"/>
    <s v="Carousel"/>
    <s v="Check out our latest carousel on twitter!"/>
    <n v="4494"/>
    <n v="717"/>
    <n v="45"/>
    <n v="62916"/>
    <n v="62688"/>
    <n v="191"/>
    <s v="#PepsiCoRefresh,#ThirstyForMore,#BetterWithPepsi"/>
    <x v="0"/>
    <s v="#PepsiCoRefresh"/>
    <s v="#ThirstyForMore"/>
    <s v="#BetterWithPepsi"/>
    <n v="8.3539958039290485E-2"/>
    <n v="525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r>
  <r>
    <x v="0"/>
    <x v="1"/>
    <n v="1312"/>
    <n v="310"/>
    <n v="42654"/>
    <n v="4.9800000000000004"/>
    <n v="9566"/>
  </r>
  <r>
    <x v="0"/>
    <x v="2"/>
    <n v="584"/>
    <n v="169"/>
    <n v="146834"/>
    <n v="8.31"/>
    <n v="26752"/>
  </r>
  <r>
    <x v="0"/>
    <x v="3"/>
    <n v="1535"/>
    <n v="445"/>
    <n v="395536"/>
    <n v="4.1100000000000003"/>
    <n v="30671"/>
  </r>
  <r>
    <x v="1"/>
    <x v="0"/>
    <n v="656"/>
    <n v="139"/>
    <n v="49157"/>
    <n v="9.0500000000000007"/>
    <n v="9920"/>
  </r>
  <r>
    <x v="1"/>
    <x v="1"/>
    <n v="1697"/>
    <n v="414"/>
    <n v="316555"/>
    <n v="2.37"/>
    <n v="7924"/>
  </r>
  <r>
    <x v="1"/>
    <x v="2"/>
    <n v="436"/>
    <n v="250"/>
    <n v="254347"/>
    <n v="4.01"/>
    <n v="8912"/>
  </r>
  <r>
    <x v="1"/>
    <x v="3"/>
    <n v="1197"/>
    <n v="203"/>
    <n v="413878"/>
    <n v="3.16"/>
    <n v="21205"/>
  </r>
  <r>
    <x v="2"/>
    <x v="0"/>
    <n v="1048"/>
    <n v="155"/>
    <n v="456946"/>
    <n v="2.46"/>
    <n v="11329"/>
  </r>
  <r>
    <x v="2"/>
    <x v="1"/>
    <n v="1753"/>
    <n v="371"/>
    <n v="169496"/>
    <n v="8.11"/>
    <n v="46670"/>
  </r>
  <r>
    <x v="2"/>
    <x v="2"/>
    <n v="1335"/>
    <n v="40"/>
    <n v="122732"/>
    <n v="8.19"/>
    <n v="22482"/>
  </r>
  <r>
    <x v="2"/>
    <x v="3"/>
    <n v="403"/>
    <n v="66"/>
    <n v="382851"/>
    <n v="3.49"/>
    <n v="24313"/>
  </r>
  <r>
    <x v="3"/>
    <x v="0"/>
    <n v="911"/>
    <n v="282"/>
    <n v="35664"/>
    <n v="6.92"/>
    <n v="18050"/>
  </r>
  <r>
    <x v="3"/>
    <x v="1"/>
    <n v="1779"/>
    <n v="109"/>
    <n v="26295"/>
    <n v="9.1199999999999992"/>
    <n v="30635"/>
  </r>
  <r>
    <x v="3"/>
    <x v="2"/>
    <n v="1238"/>
    <n v="403"/>
    <n v="298421"/>
    <n v="3.5"/>
    <n v="31280"/>
  </r>
  <r>
    <x v="3"/>
    <x v="3"/>
    <n v="308"/>
    <n v="431"/>
    <n v="426184"/>
    <n v="2.62"/>
    <n v="1783"/>
  </r>
  <r>
    <x v="4"/>
    <x v="0"/>
    <n v="226"/>
    <n v="445"/>
    <n v="419447"/>
    <n v="9.36"/>
    <n v="9566"/>
  </r>
  <r>
    <x v="4"/>
    <x v="1"/>
    <n v="505"/>
    <n v="441"/>
    <n v="220020"/>
    <n v="4.4800000000000004"/>
    <n v="42307"/>
  </r>
  <r>
    <x v="4"/>
    <x v="2"/>
    <n v="1420"/>
    <n v="63"/>
    <n v="315305"/>
    <n v="6.19"/>
    <n v="5914"/>
  </r>
  <r>
    <x v="4"/>
    <x v="3"/>
    <n v="144"/>
    <n v="53"/>
    <n v="113678"/>
    <n v="8.7200000000000006"/>
    <n v="30060"/>
  </r>
  <r>
    <x v="5"/>
    <x v="0"/>
    <n v="1757"/>
    <n v="85"/>
    <n v="58223"/>
    <n v="8.74"/>
    <n v="22728"/>
  </r>
  <r>
    <x v="5"/>
    <x v="1"/>
    <n v="350"/>
    <n v="41"/>
    <n v="251694"/>
    <n v="1.91"/>
    <n v="38610"/>
  </r>
  <r>
    <x v="5"/>
    <x v="2"/>
    <n v="987"/>
    <n v="440"/>
    <n v="389810"/>
    <n v="4.66"/>
    <n v="2932"/>
  </r>
  <r>
    <x v="5"/>
    <x v="3"/>
    <n v="883"/>
    <n v="369"/>
    <n v="233694"/>
    <n v="2.88"/>
    <n v="15071"/>
  </r>
  <r>
    <x v="6"/>
    <x v="0"/>
    <n v="1960"/>
    <n v="115"/>
    <n v="154169"/>
    <n v="3.74"/>
    <n v="10740"/>
  </r>
  <r>
    <x v="6"/>
    <x v="1"/>
    <n v="170"/>
    <n v="334"/>
    <n v="334626"/>
    <n v="6.44"/>
    <n v="43420"/>
  </r>
  <r>
    <x v="6"/>
    <x v="2"/>
    <n v="704"/>
    <n v="275"/>
    <n v="226002"/>
    <n v="8.56"/>
    <n v="32393"/>
  </r>
  <r>
    <x v="6"/>
    <x v="3"/>
    <n v="224"/>
    <n v="64"/>
    <n v="156683"/>
    <n v="4.5599999999999996"/>
    <n v="28474"/>
  </r>
  <r>
    <x v="7"/>
    <x v="0"/>
    <n v="508"/>
    <n v="349"/>
    <n v="473812"/>
    <n v="7.88"/>
    <n v="17328"/>
  </r>
  <r>
    <x v="7"/>
    <x v="1"/>
    <n v="1391"/>
    <n v="430"/>
    <n v="295032"/>
    <n v="7.86"/>
    <n v="26067"/>
  </r>
  <r>
    <x v="7"/>
    <x v="2"/>
    <n v="1701"/>
    <n v="385"/>
    <n v="198278"/>
    <n v="5.34"/>
    <n v="32763"/>
  </r>
  <r>
    <x v="7"/>
    <x v="3"/>
    <n v="804"/>
    <n v="487"/>
    <n v="306564"/>
    <n v="5.52"/>
    <n v="26452"/>
  </r>
  <r>
    <x v="8"/>
    <x v="0"/>
    <n v="653"/>
    <n v="112"/>
    <n v="23664"/>
    <n v="4.05"/>
    <n v="15353"/>
  </r>
  <r>
    <x v="8"/>
    <x v="1"/>
    <n v="160"/>
    <n v="478"/>
    <n v="435034"/>
    <n v="7.73"/>
    <n v="4839"/>
  </r>
  <r>
    <x v="8"/>
    <x v="2"/>
    <n v="1756"/>
    <n v="261"/>
    <n v="287574"/>
    <n v="4.3600000000000003"/>
    <n v="39272"/>
  </r>
  <r>
    <x v="8"/>
    <x v="3"/>
    <n v="576"/>
    <n v="101"/>
    <n v="62499"/>
    <n v="3.48"/>
    <n v="16804"/>
  </r>
  <r>
    <x v="9"/>
    <x v="0"/>
    <n v="645"/>
    <n v="293"/>
    <n v="437968"/>
    <n v="7.83"/>
    <n v="49303"/>
  </r>
  <r>
    <x v="9"/>
    <x v="1"/>
    <n v="214"/>
    <n v="411"/>
    <n v="125034"/>
    <n v="6.11"/>
    <n v="26455"/>
  </r>
  <r>
    <x v="9"/>
    <x v="2"/>
    <n v="826"/>
    <n v="498"/>
    <n v="449994"/>
    <n v="9.43"/>
    <n v="12384"/>
  </r>
  <r>
    <x v="9"/>
    <x v="3"/>
    <n v="460"/>
    <n v="141"/>
    <n v="320650"/>
    <n v="4.04"/>
    <n v="49372"/>
  </r>
  <r>
    <x v="10"/>
    <x v="0"/>
    <n v="1528"/>
    <n v="203"/>
    <n v="489188"/>
    <n v="6.23"/>
    <n v="47101"/>
  </r>
  <r>
    <x v="10"/>
    <x v="1"/>
    <n v="1534"/>
    <n v="200"/>
    <n v="307612"/>
    <n v="6.01"/>
    <n v="37903"/>
  </r>
  <r>
    <x v="10"/>
    <x v="2"/>
    <n v="485"/>
    <n v="448"/>
    <n v="434883"/>
    <n v="8.5500000000000007"/>
    <n v="33258"/>
  </r>
  <r>
    <x v="10"/>
    <x v="3"/>
    <n v="1210"/>
    <n v="178"/>
    <n v="102042"/>
    <n v="5.42"/>
    <n v="6915"/>
  </r>
  <r>
    <x v="11"/>
    <x v="0"/>
    <n v="215"/>
    <n v="139"/>
    <n v="325444"/>
    <n v="3.25"/>
    <n v="35501"/>
  </r>
  <r>
    <x v="11"/>
    <x v="1"/>
    <n v="1078"/>
    <n v="20"/>
    <n v="183924"/>
    <n v="8.84"/>
    <n v="14203"/>
  </r>
  <r>
    <x v="11"/>
    <x v="2"/>
    <n v="1751"/>
    <n v="86"/>
    <n v="188655"/>
    <n v="7.24"/>
    <n v="22206"/>
  </r>
  <r>
    <x v="11"/>
    <x v="3"/>
    <n v="221"/>
    <n v="31"/>
    <n v="87443"/>
    <n v="6.19"/>
    <n v="10283"/>
  </r>
  <r>
    <x v="12"/>
    <x v="0"/>
    <n v="1685"/>
    <n v="76"/>
    <n v="453799"/>
    <n v="5.71"/>
    <n v="24913"/>
  </r>
  <r>
    <x v="12"/>
    <x v="1"/>
    <n v="248"/>
    <n v="211"/>
    <n v="379380"/>
    <n v="9.0399999999999991"/>
    <n v="26925"/>
  </r>
  <r>
    <x v="12"/>
    <x v="2"/>
    <n v="1300"/>
    <n v="71"/>
    <n v="186454"/>
    <n v="3.91"/>
    <n v="9942"/>
  </r>
  <r>
    <x v="12"/>
    <x v="3"/>
    <n v="422"/>
    <n v="394"/>
    <n v="239044"/>
    <n v="7.83"/>
    <n v="32929"/>
  </r>
  <r>
    <x v="13"/>
    <x v="0"/>
    <n v="1429"/>
    <n v="182"/>
    <n v="101332"/>
    <n v="7.16"/>
    <n v="37829"/>
  </r>
  <r>
    <x v="13"/>
    <x v="1"/>
    <n v="1520"/>
    <n v="475"/>
    <n v="496982"/>
    <n v="6.41"/>
    <n v="24384"/>
  </r>
  <r>
    <x v="13"/>
    <x v="2"/>
    <n v="557"/>
    <n v="360"/>
    <n v="318779"/>
    <n v="8.02"/>
    <n v="25797"/>
  </r>
  <r>
    <x v="13"/>
    <x v="3"/>
    <n v="728"/>
    <n v="395"/>
    <n v="370971"/>
    <n v="3.86"/>
    <n v="12646"/>
  </r>
  <r>
    <x v="14"/>
    <x v="0"/>
    <n v="1592"/>
    <n v="20"/>
    <n v="378054"/>
    <n v="9.09"/>
    <n v="26663"/>
  </r>
  <r>
    <x v="14"/>
    <x v="1"/>
    <n v="1842"/>
    <n v="414"/>
    <n v="307524"/>
    <n v="1.76"/>
    <n v="40478"/>
  </r>
  <r>
    <x v="14"/>
    <x v="2"/>
    <n v="751"/>
    <n v="491"/>
    <n v="434047"/>
    <n v="9.24"/>
    <n v="15476"/>
  </r>
  <r>
    <x v="14"/>
    <x v="3"/>
    <n v="1409"/>
    <n v="309"/>
    <n v="64583"/>
    <n v="8.99"/>
    <n v="10217"/>
  </r>
  <r>
    <x v="15"/>
    <x v="0"/>
    <n v="778"/>
    <n v="401"/>
    <n v="50793"/>
    <n v="3.4"/>
    <n v="21939"/>
  </r>
  <r>
    <x v="15"/>
    <x v="1"/>
    <n v="443"/>
    <n v="345"/>
    <n v="474162"/>
    <n v="9.1999999999999993"/>
    <n v="47462"/>
  </r>
  <r>
    <x v="15"/>
    <x v="2"/>
    <n v="1472"/>
    <n v="347"/>
    <n v="392355"/>
    <n v="8.59"/>
    <n v="30270"/>
  </r>
  <r>
    <x v="15"/>
    <x v="3"/>
    <n v="123"/>
    <n v="155"/>
    <n v="119934"/>
    <n v="3.5"/>
    <n v="5442"/>
  </r>
  <r>
    <x v="16"/>
    <x v="0"/>
    <n v="817"/>
    <n v="151"/>
    <n v="422625"/>
    <n v="2.36"/>
    <n v="1083"/>
  </r>
  <r>
    <x v="16"/>
    <x v="1"/>
    <n v="198"/>
    <n v="217"/>
    <n v="239753"/>
    <n v="7.36"/>
    <n v="11901"/>
  </r>
  <r>
    <x v="16"/>
    <x v="2"/>
    <n v="1911"/>
    <n v="231"/>
    <n v="268516"/>
    <n v="8.5500000000000007"/>
    <n v="24018"/>
  </r>
  <r>
    <x v="16"/>
    <x v="3"/>
    <n v="1218"/>
    <n v="212"/>
    <n v="63177"/>
    <n v="8.1300000000000008"/>
    <n v="38883"/>
  </r>
  <r>
    <x v="17"/>
    <x v="0"/>
    <n v="1433"/>
    <n v="408"/>
    <n v="370269"/>
    <n v="3.3"/>
    <n v="30575"/>
  </r>
  <r>
    <x v="17"/>
    <x v="1"/>
    <n v="250"/>
    <n v="429"/>
    <n v="453423"/>
    <n v="1.77"/>
    <n v="2315"/>
  </r>
  <r>
    <x v="17"/>
    <x v="2"/>
    <n v="752"/>
    <n v="153"/>
    <n v="64906"/>
    <n v="2.09"/>
    <n v="12148"/>
  </r>
  <r>
    <x v="17"/>
    <x v="3"/>
    <n v="1918"/>
    <n v="212"/>
    <n v="94360"/>
    <n v="7.36"/>
    <n v="36851"/>
  </r>
  <r>
    <x v="18"/>
    <x v="0"/>
    <n v="1939"/>
    <n v="67"/>
    <n v="187183"/>
    <n v="6.25"/>
    <n v="41215"/>
  </r>
  <r>
    <x v="18"/>
    <x v="1"/>
    <n v="1929"/>
    <n v="267"/>
    <n v="379363"/>
    <n v="1.75"/>
    <n v="43836"/>
  </r>
  <r>
    <x v="18"/>
    <x v="2"/>
    <n v="437"/>
    <n v="330"/>
    <n v="476486"/>
    <n v="4.97"/>
    <n v="4509"/>
  </r>
  <r>
    <x v="18"/>
    <x v="3"/>
    <n v="307"/>
    <n v="189"/>
    <n v="117767"/>
    <n v="9.3000000000000007"/>
    <n v="27822"/>
  </r>
  <r>
    <x v="19"/>
    <x v="0"/>
    <n v="1527"/>
    <n v="303"/>
    <n v="388555"/>
    <n v="8.9"/>
    <n v="36397"/>
  </r>
  <r>
    <x v="19"/>
    <x v="1"/>
    <n v="643"/>
    <n v="358"/>
    <n v="157599"/>
    <n v="3.88"/>
    <n v="7285"/>
  </r>
  <r>
    <x v="19"/>
    <x v="2"/>
    <n v="201"/>
    <n v="221"/>
    <n v="309772"/>
    <n v="5.9"/>
    <n v="33174"/>
  </r>
  <r>
    <x v="19"/>
    <x v="3"/>
    <n v="414"/>
    <n v="47"/>
    <n v="199178"/>
    <n v="1.53"/>
    <n v="6742"/>
  </r>
  <r>
    <x v="20"/>
    <x v="0"/>
    <n v="703"/>
    <n v="441"/>
    <n v="357089"/>
    <n v="6.5"/>
    <n v="32478"/>
  </r>
  <r>
    <x v="20"/>
    <x v="1"/>
    <n v="508"/>
    <n v="69"/>
    <n v="23492"/>
    <n v="3.16"/>
    <n v="42824"/>
  </r>
  <r>
    <x v="20"/>
    <x v="2"/>
    <n v="697"/>
    <n v="61"/>
    <n v="258287"/>
    <n v="8.25"/>
    <n v="21208"/>
  </r>
  <r>
    <x v="20"/>
    <x v="3"/>
    <n v="1707"/>
    <n v="223"/>
    <n v="256910"/>
    <n v="5.41"/>
    <n v="44321"/>
  </r>
  <r>
    <x v="21"/>
    <x v="0"/>
    <n v="642"/>
    <n v="66"/>
    <n v="346522"/>
    <n v="5.85"/>
    <n v="13116"/>
  </r>
  <r>
    <x v="21"/>
    <x v="1"/>
    <n v="859"/>
    <n v="473"/>
    <n v="209987"/>
    <n v="4.46"/>
    <n v="30214"/>
  </r>
  <r>
    <x v="21"/>
    <x v="2"/>
    <n v="191"/>
    <n v="154"/>
    <n v="240550"/>
    <n v="5.22"/>
    <n v="15827"/>
  </r>
  <r>
    <x v="21"/>
    <x v="3"/>
    <n v="1814"/>
    <n v="157"/>
    <n v="305827"/>
    <n v="1.99"/>
    <n v="46643"/>
  </r>
  <r>
    <x v="22"/>
    <x v="0"/>
    <n v="1466"/>
    <n v="69"/>
    <n v="54935"/>
    <n v="6.85"/>
    <n v="36484"/>
  </r>
  <r>
    <x v="22"/>
    <x v="1"/>
    <n v="947"/>
    <n v="407"/>
    <n v="319186"/>
    <n v="3.32"/>
    <n v="4996"/>
  </r>
  <r>
    <x v="22"/>
    <x v="2"/>
    <n v="1821"/>
    <n v="218"/>
    <n v="439080"/>
    <n v="5.68"/>
    <n v="36095"/>
  </r>
  <r>
    <x v="22"/>
    <x v="3"/>
    <n v="1507"/>
    <n v="463"/>
    <n v="258944"/>
    <n v="6.08"/>
    <n v="16443"/>
  </r>
  <r>
    <x v="23"/>
    <x v="0"/>
    <n v="1075"/>
    <n v="173"/>
    <n v="51395"/>
    <n v="4.66"/>
    <n v="47812"/>
  </r>
  <r>
    <x v="23"/>
    <x v="1"/>
    <n v="171"/>
    <n v="277"/>
    <n v="309483"/>
    <n v="8.6999999999999993"/>
    <n v="38452"/>
  </r>
  <r>
    <x v="23"/>
    <x v="2"/>
    <n v="1487"/>
    <n v="337"/>
    <n v="87305"/>
    <n v="2.46"/>
    <n v="30428"/>
  </r>
  <r>
    <x v="23"/>
    <x v="3"/>
    <n v="454"/>
    <n v="105"/>
    <n v="121091"/>
    <n v="7.97"/>
    <n v="9269"/>
  </r>
  <r>
    <x v="24"/>
    <x v="0"/>
    <n v="187"/>
    <n v="236"/>
    <n v="51087"/>
    <n v="9.41"/>
    <n v="29533"/>
  </r>
  <r>
    <x v="24"/>
    <x v="1"/>
    <n v="513"/>
    <n v="441"/>
    <n v="338847"/>
    <n v="2.68"/>
    <n v="39997"/>
  </r>
  <r>
    <x v="24"/>
    <x v="2"/>
    <n v="628"/>
    <n v="183"/>
    <n v="487523"/>
    <n v="7.32"/>
    <n v="5391"/>
  </r>
  <r>
    <x v="24"/>
    <x v="3"/>
    <n v="278"/>
    <n v="218"/>
    <n v="301695"/>
    <n v="4.68"/>
    <n v="22373"/>
  </r>
  <r>
    <x v="25"/>
    <x v="0"/>
    <n v="1854"/>
    <n v="161"/>
    <n v="282466"/>
    <n v="5.17"/>
    <n v="1810"/>
  </r>
  <r>
    <x v="25"/>
    <x v="1"/>
    <n v="1710"/>
    <n v="378"/>
    <n v="336661"/>
    <n v="6.2"/>
    <n v="28498"/>
  </r>
  <r>
    <x v="25"/>
    <x v="2"/>
    <n v="330"/>
    <n v="232"/>
    <n v="88455"/>
    <n v="2.69"/>
    <n v="39530"/>
  </r>
  <r>
    <x v="25"/>
    <x v="3"/>
    <n v="1293"/>
    <n v="408"/>
    <n v="62535"/>
    <n v="8.9"/>
    <n v="37876"/>
  </r>
  <r>
    <x v="26"/>
    <x v="0"/>
    <n v="1696"/>
    <n v="71"/>
    <n v="421957"/>
    <n v="3.79"/>
    <n v="36103"/>
  </r>
  <r>
    <x v="26"/>
    <x v="1"/>
    <n v="1902"/>
    <n v="196"/>
    <n v="470269"/>
    <n v="4.79"/>
    <n v="26103"/>
  </r>
  <r>
    <x v="26"/>
    <x v="2"/>
    <n v="1441"/>
    <n v="268"/>
    <n v="309904"/>
    <n v="6.37"/>
    <n v="3455"/>
  </r>
  <r>
    <x v="26"/>
    <x v="3"/>
    <n v="452"/>
    <n v="161"/>
    <n v="221274"/>
    <n v="2.65"/>
    <n v="40888"/>
  </r>
  <r>
    <x v="27"/>
    <x v="0"/>
    <n v="1494"/>
    <n v="375"/>
    <n v="220616"/>
    <n v="1.81"/>
    <n v="22724"/>
  </r>
  <r>
    <x v="27"/>
    <x v="1"/>
    <n v="1514"/>
    <n v="141"/>
    <n v="35842"/>
    <n v="7.47"/>
    <n v="18601"/>
  </r>
  <r>
    <x v="27"/>
    <x v="2"/>
    <n v="1937"/>
    <n v="210"/>
    <n v="20607"/>
    <n v="4.2"/>
    <n v="20861"/>
  </r>
  <r>
    <x v="27"/>
    <x v="3"/>
    <n v="736"/>
    <n v="163"/>
    <n v="451894"/>
    <n v="5.43"/>
    <n v="46625"/>
  </r>
  <r>
    <x v="28"/>
    <x v="0"/>
    <n v="1502"/>
    <n v="70"/>
    <n v="465553"/>
    <n v="3.32"/>
    <n v="20692"/>
  </r>
  <r>
    <x v="28"/>
    <x v="1"/>
    <n v="1623"/>
    <n v="246"/>
    <n v="415815"/>
    <n v="8.11"/>
    <n v="18656"/>
  </r>
  <r>
    <x v="28"/>
    <x v="2"/>
    <n v="1592"/>
    <n v="233"/>
    <n v="327183"/>
    <n v="6.66"/>
    <n v="13316"/>
  </r>
  <r>
    <x v="28"/>
    <x v="3"/>
    <n v="1004"/>
    <n v="128"/>
    <n v="488901"/>
    <n v="8.09"/>
    <n v="49558"/>
  </r>
  <r>
    <x v="29"/>
    <x v="0"/>
    <n v="1092"/>
    <n v="408"/>
    <n v="280795"/>
    <n v="8.44"/>
    <n v="4683"/>
  </r>
  <r>
    <x v="29"/>
    <x v="1"/>
    <n v="1155"/>
    <n v="425"/>
    <n v="93347"/>
    <n v="2.02"/>
    <n v="47502"/>
  </r>
  <r>
    <x v="29"/>
    <x v="2"/>
    <n v="1137"/>
    <n v="226"/>
    <n v="81119"/>
    <n v="7.74"/>
    <n v="35359"/>
  </r>
  <r>
    <x v="29"/>
    <x v="3"/>
    <n v="1900"/>
    <n v="311"/>
    <n v="25177"/>
    <n v="2.89"/>
    <n v="14154"/>
  </r>
  <r>
    <x v="30"/>
    <x v="0"/>
    <n v="1814"/>
    <n v="49"/>
    <n v="140804"/>
    <n v="1.76"/>
    <n v="4313"/>
  </r>
  <r>
    <x v="30"/>
    <x v="1"/>
    <n v="1980"/>
    <n v="204"/>
    <n v="379431"/>
    <n v="3.09"/>
    <n v="25140"/>
  </r>
  <r>
    <x v="30"/>
    <x v="2"/>
    <n v="1786"/>
    <n v="257"/>
    <n v="274831"/>
    <n v="4.68"/>
    <n v="9118"/>
  </r>
  <r>
    <x v="30"/>
    <x v="3"/>
    <n v="1495"/>
    <n v="35"/>
    <n v="136845"/>
    <n v="4.4800000000000004"/>
    <n v="39931"/>
  </r>
  <r>
    <x v="31"/>
    <x v="0"/>
    <n v="1013"/>
    <n v="110"/>
    <n v="466382"/>
    <n v="5.3"/>
    <n v="37132"/>
  </r>
  <r>
    <x v="31"/>
    <x v="1"/>
    <n v="816"/>
    <n v="196"/>
    <n v="95728"/>
    <n v="8.1999999999999993"/>
    <n v="17951"/>
  </r>
  <r>
    <x v="31"/>
    <x v="2"/>
    <n v="1633"/>
    <n v="445"/>
    <n v="371156"/>
    <n v="2.2200000000000002"/>
    <n v="2798"/>
  </r>
  <r>
    <x v="31"/>
    <x v="3"/>
    <n v="891"/>
    <n v="45"/>
    <n v="95410"/>
    <n v="8.33"/>
    <n v="15045"/>
  </r>
  <r>
    <x v="32"/>
    <x v="0"/>
    <n v="1855"/>
    <n v="133"/>
    <n v="349413"/>
    <n v="3.3"/>
    <n v="14548"/>
  </r>
  <r>
    <x v="32"/>
    <x v="1"/>
    <n v="651"/>
    <n v="353"/>
    <n v="224699"/>
    <n v="5.61"/>
    <n v="45708"/>
  </r>
  <r>
    <x v="32"/>
    <x v="2"/>
    <n v="118"/>
    <n v="262"/>
    <n v="487896"/>
    <n v="2.56"/>
    <n v="12350"/>
  </r>
  <r>
    <x v="32"/>
    <x v="3"/>
    <n v="1331"/>
    <n v="430"/>
    <n v="14437"/>
    <n v="3.29"/>
    <n v="40868"/>
  </r>
  <r>
    <x v="33"/>
    <x v="0"/>
    <n v="1748"/>
    <n v="176"/>
    <n v="383681"/>
    <n v="9.24"/>
    <n v="43122"/>
  </r>
  <r>
    <x v="33"/>
    <x v="1"/>
    <n v="663"/>
    <n v="236"/>
    <n v="479490"/>
    <n v="4.51"/>
    <n v="23853"/>
  </r>
  <r>
    <x v="33"/>
    <x v="2"/>
    <n v="1040"/>
    <n v="149"/>
    <n v="124404"/>
    <n v="5.23"/>
    <n v="45380"/>
  </r>
  <r>
    <x v="33"/>
    <x v="3"/>
    <n v="1166"/>
    <n v="442"/>
    <n v="336949"/>
    <n v="4.68"/>
    <n v="7705"/>
  </r>
  <r>
    <x v="34"/>
    <x v="0"/>
    <n v="115"/>
    <n v="281"/>
    <n v="357265"/>
    <n v="9.23"/>
    <n v="25525"/>
  </r>
  <r>
    <x v="34"/>
    <x v="1"/>
    <n v="1249"/>
    <n v="351"/>
    <n v="321307"/>
    <n v="6.37"/>
    <n v="20560"/>
  </r>
  <r>
    <x v="34"/>
    <x v="2"/>
    <n v="1501"/>
    <n v="75"/>
    <n v="262569"/>
    <n v="2.0099999999999998"/>
    <n v="19119"/>
  </r>
  <r>
    <x v="34"/>
    <x v="3"/>
    <n v="1411"/>
    <n v="186"/>
    <n v="461669"/>
    <n v="3.72"/>
    <n v="43999"/>
  </r>
  <r>
    <x v="35"/>
    <x v="0"/>
    <n v="1556"/>
    <n v="476"/>
    <n v="351556"/>
    <n v="3.89"/>
    <n v="10825"/>
  </r>
  <r>
    <x v="35"/>
    <x v="1"/>
    <n v="1159"/>
    <n v="411"/>
    <n v="135987"/>
    <n v="8.6999999999999993"/>
    <n v="40323"/>
  </r>
  <r>
    <x v="35"/>
    <x v="2"/>
    <n v="927"/>
    <n v="358"/>
    <n v="177554"/>
    <n v="6.95"/>
    <n v="48270"/>
  </r>
  <r>
    <x v="35"/>
    <x v="3"/>
    <n v="152"/>
    <n v="355"/>
    <n v="270766"/>
    <n v="9.48"/>
    <n v="18001"/>
  </r>
  <r>
    <x v="36"/>
    <x v="0"/>
    <n v="1957"/>
    <n v="234"/>
    <n v="222126"/>
    <n v="4.6100000000000003"/>
    <n v="3314"/>
  </r>
  <r>
    <x v="36"/>
    <x v="1"/>
    <n v="1294"/>
    <n v="382"/>
    <n v="309914"/>
    <n v="8.0299999999999994"/>
    <n v="23489"/>
  </r>
  <r>
    <x v="36"/>
    <x v="2"/>
    <n v="1587"/>
    <n v="385"/>
    <n v="126582"/>
    <n v="6.99"/>
    <n v="42832"/>
  </r>
  <r>
    <x v="36"/>
    <x v="3"/>
    <n v="1707"/>
    <n v="263"/>
    <n v="485280"/>
    <n v="9.0299999999999994"/>
    <n v="24494"/>
  </r>
  <r>
    <x v="37"/>
    <x v="0"/>
    <n v="1138"/>
    <n v="173"/>
    <n v="453243"/>
    <n v="2.86"/>
    <n v="44097"/>
  </r>
  <r>
    <x v="37"/>
    <x v="1"/>
    <n v="1895"/>
    <n v="305"/>
    <n v="104967"/>
    <n v="3.85"/>
    <n v="31853"/>
  </r>
  <r>
    <x v="37"/>
    <x v="2"/>
    <n v="362"/>
    <n v="399"/>
    <n v="145608"/>
    <n v="7.3"/>
    <n v="37636"/>
  </r>
  <r>
    <x v="37"/>
    <x v="3"/>
    <n v="1662"/>
    <n v="487"/>
    <n v="105980"/>
    <n v="9.08"/>
    <n v="22996"/>
  </r>
  <r>
    <x v="38"/>
    <x v="0"/>
    <n v="1440"/>
    <n v="65"/>
    <n v="126524"/>
    <n v="4.34"/>
    <n v="49772"/>
  </r>
  <r>
    <x v="38"/>
    <x v="1"/>
    <n v="1884"/>
    <n v="177"/>
    <n v="230448"/>
    <n v="7.8"/>
    <n v="22713"/>
  </r>
  <r>
    <x v="38"/>
    <x v="2"/>
    <n v="861"/>
    <n v="153"/>
    <n v="317007"/>
    <n v="3.85"/>
    <n v="8718"/>
  </r>
  <r>
    <x v="38"/>
    <x v="3"/>
    <n v="1063"/>
    <n v="47"/>
    <n v="464239"/>
    <n v="6.58"/>
    <n v="39031"/>
  </r>
  <r>
    <x v="39"/>
    <x v="0"/>
    <n v="1371"/>
    <n v="56"/>
    <n v="257579"/>
    <n v="8.6199999999999992"/>
    <n v="33799"/>
  </r>
  <r>
    <x v="39"/>
    <x v="1"/>
    <n v="345"/>
    <n v="464"/>
    <n v="366881"/>
    <n v="4.55"/>
    <n v="20553"/>
  </r>
  <r>
    <x v="39"/>
    <x v="2"/>
    <n v="946"/>
    <n v="47"/>
    <n v="466575"/>
    <n v="8.33"/>
    <n v="10002"/>
  </r>
  <r>
    <x v="39"/>
    <x v="3"/>
    <n v="510"/>
    <n v="195"/>
    <n v="224534"/>
    <n v="9.4"/>
    <n v="30987"/>
  </r>
  <r>
    <x v="40"/>
    <x v="0"/>
    <n v="393"/>
    <n v="181"/>
    <n v="462142"/>
    <n v="7.23"/>
    <n v="6296"/>
  </r>
  <r>
    <x v="40"/>
    <x v="1"/>
    <n v="1098"/>
    <n v="190"/>
    <n v="340842"/>
    <n v="9.39"/>
    <n v="21539"/>
  </r>
  <r>
    <x v="40"/>
    <x v="2"/>
    <n v="1399"/>
    <n v="49"/>
    <n v="12471"/>
    <n v="5.12"/>
    <n v="14722"/>
  </r>
  <r>
    <x v="40"/>
    <x v="3"/>
    <n v="1658"/>
    <n v="416"/>
    <n v="98397"/>
    <n v="6.11"/>
    <n v="11383"/>
  </r>
  <r>
    <x v="41"/>
    <x v="0"/>
    <n v="1102"/>
    <n v="422"/>
    <n v="410330"/>
    <n v="7.74"/>
    <n v="9480"/>
  </r>
  <r>
    <x v="41"/>
    <x v="1"/>
    <n v="1358"/>
    <n v="242"/>
    <n v="342129"/>
    <n v="4.9400000000000004"/>
    <n v="29116"/>
  </r>
  <r>
    <x v="41"/>
    <x v="2"/>
    <n v="1077"/>
    <n v="216"/>
    <n v="12447"/>
    <n v="1.8"/>
    <n v="14068"/>
  </r>
  <r>
    <x v="41"/>
    <x v="3"/>
    <n v="1596"/>
    <n v="211"/>
    <n v="17380"/>
    <n v="8.64"/>
    <n v="35801"/>
  </r>
  <r>
    <x v="42"/>
    <x v="0"/>
    <n v="490"/>
    <n v="29"/>
    <n v="364810"/>
    <n v="1.53"/>
    <n v="49077"/>
  </r>
  <r>
    <x v="42"/>
    <x v="1"/>
    <n v="609"/>
    <n v="135"/>
    <n v="373606"/>
    <n v="8.52"/>
    <n v="21453"/>
  </r>
  <r>
    <x v="42"/>
    <x v="2"/>
    <n v="364"/>
    <n v="72"/>
    <n v="211090"/>
    <n v="5.53"/>
    <n v="21061"/>
  </r>
  <r>
    <x v="42"/>
    <x v="3"/>
    <n v="442"/>
    <n v="53"/>
    <n v="441931"/>
    <n v="1.87"/>
    <n v="20059"/>
  </r>
  <r>
    <x v="43"/>
    <x v="0"/>
    <n v="1033"/>
    <n v="392"/>
    <n v="282780"/>
    <n v="6.27"/>
    <n v="23140"/>
  </r>
  <r>
    <x v="43"/>
    <x v="1"/>
    <n v="988"/>
    <n v="474"/>
    <n v="370070"/>
    <n v="9.4600000000000009"/>
    <n v="23461"/>
  </r>
  <r>
    <x v="43"/>
    <x v="2"/>
    <n v="1946"/>
    <n v="270"/>
    <n v="198350"/>
    <n v="7.5"/>
    <n v="11805"/>
  </r>
  <r>
    <x v="43"/>
    <x v="3"/>
    <n v="1957"/>
    <n v="490"/>
    <n v="435726"/>
    <n v="4.7300000000000004"/>
    <n v="15969"/>
  </r>
  <r>
    <x v="44"/>
    <x v="0"/>
    <n v="559"/>
    <n v="392"/>
    <n v="78789"/>
    <n v="3.19"/>
    <n v="2436"/>
  </r>
  <r>
    <x v="44"/>
    <x v="1"/>
    <n v="1307"/>
    <n v="278"/>
    <n v="98596"/>
    <n v="2.4900000000000002"/>
    <n v="47603"/>
  </r>
  <r>
    <x v="44"/>
    <x v="2"/>
    <n v="1432"/>
    <n v="425"/>
    <n v="29589"/>
    <n v="4.5"/>
    <n v="42964"/>
  </r>
  <r>
    <x v="44"/>
    <x v="3"/>
    <n v="623"/>
    <n v="414"/>
    <n v="290354"/>
    <n v="6.49"/>
    <n v="39923"/>
  </r>
  <r>
    <x v="45"/>
    <x v="0"/>
    <n v="198"/>
    <n v="358"/>
    <n v="66682"/>
    <n v="6.73"/>
    <n v="2293"/>
  </r>
  <r>
    <x v="45"/>
    <x v="1"/>
    <n v="198"/>
    <n v="373"/>
    <n v="70707"/>
    <n v="4.83"/>
    <n v="25920"/>
  </r>
  <r>
    <x v="45"/>
    <x v="2"/>
    <n v="353"/>
    <n v="300"/>
    <n v="142507"/>
    <n v="5.3"/>
    <n v="11035"/>
  </r>
  <r>
    <x v="45"/>
    <x v="3"/>
    <n v="520"/>
    <n v="375"/>
    <n v="369525"/>
    <n v="6.54"/>
    <n v="20733"/>
  </r>
  <r>
    <x v="46"/>
    <x v="0"/>
    <n v="961"/>
    <n v="358"/>
    <n v="62942"/>
    <n v="6.8"/>
    <n v="18693"/>
  </r>
  <r>
    <x v="46"/>
    <x v="1"/>
    <n v="1375"/>
    <n v="330"/>
    <n v="377382"/>
    <n v="2.6"/>
    <n v="7875"/>
  </r>
  <r>
    <x v="46"/>
    <x v="2"/>
    <n v="1147"/>
    <n v="388"/>
    <n v="333851"/>
    <n v="2.44"/>
    <n v="8471"/>
  </r>
  <r>
    <x v="46"/>
    <x v="3"/>
    <n v="1707"/>
    <n v="74"/>
    <n v="270958"/>
    <n v="3.09"/>
    <n v="14090"/>
  </r>
  <r>
    <x v="47"/>
    <x v="0"/>
    <n v="1693"/>
    <n v="154"/>
    <n v="445944"/>
    <n v="5.69"/>
    <n v="14216"/>
  </r>
  <r>
    <x v="47"/>
    <x v="1"/>
    <n v="833"/>
    <n v="380"/>
    <n v="224830"/>
    <n v="3.86"/>
    <n v="3582"/>
  </r>
  <r>
    <x v="47"/>
    <x v="2"/>
    <n v="1222"/>
    <n v="274"/>
    <n v="487289"/>
    <n v="3.16"/>
    <n v="32500"/>
  </r>
  <r>
    <x v="47"/>
    <x v="3"/>
    <n v="777"/>
    <n v="140"/>
    <n v="11435"/>
    <n v="1.6"/>
    <n v="6832"/>
  </r>
  <r>
    <x v="48"/>
    <x v="0"/>
    <n v="1957"/>
    <n v="76"/>
    <n v="447902"/>
    <n v="6.09"/>
    <n v="33381"/>
  </r>
  <r>
    <x v="48"/>
    <x v="1"/>
    <n v="405"/>
    <n v="66"/>
    <n v="418696"/>
    <n v="5.59"/>
    <n v="48419"/>
  </r>
  <r>
    <x v="48"/>
    <x v="2"/>
    <n v="1581"/>
    <n v="71"/>
    <n v="484364"/>
    <n v="3.55"/>
    <n v="16149"/>
  </r>
  <r>
    <x v="48"/>
    <x v="3"/>
    <n v="1035"/>
    <n v="171"/>
    <n v="148477"/>
    <n v="5.21"/>
    <n v="7541"/>
  </r>
  <r>
    <x v="49"/>
    <x v="0"/>
    <n v="1765"/>
    <n v="109"/>
    <n v="468301"/>
    <n v="1.82"/>
    <n v="20042"/>
  </r>
  <r>
    <x v="49"/>
    <x v="1"/>
    <n v="837"/>
    <n v="430"/>
    <n v="364820"/>
    <n v="4"/>
    <n v="49400"/>
  </r>
  <r>
    <x v="49"/>
    <x v="2"/>
    <n v="337"/>
    <n v="68"/>
    <n v="456298"/>
    <n v="7.57"/>
    <n v="4007"/>
  </r>
  <r>
    <x v="49"/>
    <x v="3"/>
    <n v="119"/>
    <n v="456"/>
    <n v="82558"/>
    <n v="6.81"/>
    <n v="121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B080E7-B1D9-42B2-81E8-02D8D2249748}" name="Average Clicks per post by Hashtag." cacheId="1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3:G19" firstHeaderRow="1" firstDataRow="1" firstDataCol="1"/>
  <pivotFields count="2">
    <pivotField dataField="1" showAll="0">
      <items count="192">
        <item x="97"/>
        <item x="50"/>
        <item x="87"/>
        <item x="189"/>
        <item x="0"/>
        <item x="125"/>
        <item x="17"/>
        <item x="14"/>
        <item x="72"/>
        <item x="109"/>
        <item x="156"/>
        <item x="188"/>
        <item x="19"/>
        <item x="74"/>
        <item x="182"/>
        <item x="35"/>
        <item x="91"/>
        <item x="49"/>
        <item x="187"/>
        <item x="36"/>
        <item x="131"/>
        <item x="7"/>
        <item x="96"/>
        <item x="175"/>
        <item x="164"/>
        <item x="66"/>
        <item x="98"/>
        <item x="178"/>
        <item x="84"/>
        <item x="122"/>
        <item x="145"/>
        <item x="26"/>
        <item x="51"/>
        <item x="130"/>
        <item x="155"/>
        <item x="100"/>
        <item x="180"/>
        <item x="53"/>
        <item x="176"/>
        <item x="71"/>
        <item x="123"/>
        <item x="10"/>
        <item x="117"/>
        <item x="190"/>
        <item x="139"/>
        <item x="64"/>
        <item x="60"/>
        <item x="119"/>
        <item x="27"/>
        <item x="185"/>
        <item x="20"/>
        <item x="57"/>
        <item x="144"/>
        <item x="15"/>
        <item x="68"/>
        <item x="154"/>
        <item x="101"/>
        <item x="37"/>
        <item x="29"/>
        <item x="44"/>
        <item x="70"/>
        <item x="63"/>
        <item x="166"/>
        <item x="18"/>
        <item x="129"/>
        <item x="48"/>
        <item x="32"/>
        <item x="12"/>
        <item x="1"/>
        <item x="159"/>
        <item x="46"/>
        <item x="127"/>
        <item x="160"/>
        <item x="121"/>
        <item x="52"/>
        <item x="59"/>
        <item x="45"/>
        <item x="3"/>
        <item x="150"/>
        <item x="112"/>
        <item x="8"/>
        <item x="128"/>
        <item x="21"/>
        <item x="151"/>
        <item x="41"/>
        <item x="106"/>
        <item x="118"/>
        <item x="142"/>
        <item x="115"/>
        <item x="58"/>
        <item x="65"/>
        <item x="83"/>
        <item x="134"/>
        <item x="104"/>
        <item x="107"/>
        <item x="16"/>
        <item x="168"/>
        <item x="23"/>
        <item x="85"/>
        <item x="158"/>
        <item x="9"/>
        <item x="54"/>
        <item x="108"/>
        <item x="149"/>
        <item x="172"/>
        <item x="86"/>
        <item x="56"/>
        <item x="43"/>
        <item x="47"/>
        <item x="80"/>
        <item x="93"/>
        <item x="62"/>
        <item x="102"/>
        <item x="110"/>
        <item x="124"/>
        <item x="170"/>
        <item x="186"/>
        <item x="141"/>
        <item x="165"/>
        <item x="143"/>
        <item x="79"/>
        <item x="148"/>
        <item x="90"/>
        <item x="76"/>
        <item x="162"/>
        <item x="2"/>
        <item x="39"/>
        <item x="137"/>
        <item x="94"/>
        <item x="167"/>
        <item x="25"/>
        <item x="89"/>
        <item x="11"/>
        <item x="33"/>
        <item x="42"/>
        <item x="161"/>
        <item x="99"/>
        <item x="28"/>
        <item x="88"/>
        <item x="4"/>
        <item x="22"/>
        <item x="171"/>
        <item x="67"/>
        <item x="184"/>
        <item x="133"/>
        <item x="77"/>
        <item x="183"/>
        <item x="105"/>
        <item x="114"/>
        <item x="6"/>
        <item x="82"/>
        <item x="173"/>
        <item x="24"/>
        <item x="136"/>
        <item x="116"/>
        <item x="40"/>
        <item x="78"/>
        <item x="126"/>
        <item x="132"/>
        <item x="153"/>
        <item x="163"/>
        <item x="138"/>
        <item x="157"/>
        <item x="169"/>
        <item x="69"/>
        <item x="5"/>
        <item x="55"/>
        <item x="103"/>
        <item x="13"/>
        <item x="73"/>
        <item x="177"/>
        <item x="95"/>
        <item x="34"/>
        <item x="111"/>
        <item x="31"/>
        <item x="113"/>
        <item x="181"/>
        <item x="30"/>
        <item x="75"/>
        <item x="147"/>
        <item x="152"/>
        <item x="146"/>
        <item x="61"/>
        <item x="120"/>
        <item x="135"/>
        <item x="174"/>
        <item x="179"/>
        <item x="81"/>
        <item x="92"/>
        <item x="38"/>
        <item x="140"/>
        <item t="default"/>
      </items>
    </pivotField>
    <pivotField axis="axisRow" showAll="0">
      <items count="7">
        <item x="1"/>
        <item x="3"/>
        <item x="0"/>
        <item x="2"/>
        <item x="5"/>
        <item x="4"/>
        <item t="default"/>
      </items>
    </pivotField>
  </pivotFields>
  <rowFields count="1">
    <field x="1"/>
  </rowFields>
  <rowItems count="6">
    <i>
      <x/>
    </i>
    <i>
      <x v="1"/>
    </i>
    <i>
      <x v="2"/>
    </i>
    <i>
      <x v="3"/>
    </i>
    <i>
      <x v="4"/>
    </i>
    <i>
      <x v="5"/>
    </i>
  </rowItems>
  <colItems count="1">
    <i/>
  </colItems>
  <dataFields count="1">
    <dataField name="Total clicks for hashtag" fld="0"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CFCF36-11F0-469B-BA2F-A9D18AB45FAF}" name="Total Likes, Shares, and Comments by Content Type and Platform"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39" firstHeaderRow="0" firstDataRow="1" firstDataCol="1"/>
  <pivotFields count="17">
    <pivotField showAll="0"/>
    <pivotField axis="axisRow" showAll="0">
      <items count="5">
        <item x="3"/>
        <item x="2"/>
        <item x="0"/>
        <item x="1"/>
        <item t="default"/>
      </items>
    </pivotField>
    <pivotField showAll="0"/>
    <pivotField axis="axisRow" showAll="0">
      <items count="7">
        <item x="3"/>
        <item x="4"/>
        <item x="0"/>
        <item x="2"/>
        <item x="1"/>
        <item x="5"/>
        <item t="default"/>
      </items>
    </pivotField>
    <pivotField showAll="0"/>
    <pivotField dataField="1" numFmtId="1" showAll="0">
      <items count="292">
        <item x="60"/>
        <item x="255"/>
        <item x="135"/>
        <item x="211"/>
        <item x="56"/>
        <item x="170"/>
        <item x="167"/>
        <item x="67"/>
        <item x="218"/>
        <item x="223"/>
        <item x="202"/>
        <item x="69"/>
        <item x="85"/>
        <item x="130"/>
        <item x="175"/>
        <item x="237"/>
        <item x="26"/>
        <item x="29"/>
        <item x="39"/>
        <item x="101"/>
        <item x="205"/>
        <item x="250"/>
        <item x="274"/>
        <item x="215"/>
        <item x="173"/>
        <item x="79"/>
        <item x="118"/>
        <item x="145"/>
        <item x="115"/>
        <item x="193"/>
        <item x="51"/>
        <item x="240"/>
        <item x="282"/>
        <item x="239"/>
        <item x="58"/>
        <item x="187"/>
        <item x="231"/>
        <item x="198"/>
        <item x="50"/>
        <item x="75"/>
        <item x="146"/>
        <item x="98"/>
        <item x="163"/>
        <item x="190"/>
        <item x="18"/>
        <item x="158"/>
        <item x="152"/>
        <item x="80"/>
        <item x="44"/>
        <item x="73"/>
        <item x="277"/>
        <item x="12"/>
        <item x="184"/>
        <item x="210"/>
        <item x="253"/>
        <item x="53"/>
        <item x="93"/>
        <item x="74"/>
        <item x="227"/>
        <item x="88"/>
        <item x="225"/>
        <item x="66"/>
        <item x="165"/>
        <item x="242"/>
        <item x="31"/>
        <item x="222"/>
        <item x="90"/>
        <item x="84"/>
        <item x="0"/>
        <item x="272"/>
        <item x="207"/>
        <item x="40"/>
        <item x="266"/>
        <item x="20"/>
        <item x="21"/>
        <item x="179"/>
        <item x="32"/>
        <item x="72"/>
        <item x="52"/>
        <item x="141"/>
        <item x="217"/>
        <item x="150"/>
        <item x="96"/>
        <item x="10"/>
        <item x="188"/>
        <item x="213"/>
        <item x="78"/>
        <item x="81"/>
        <item x="71"/>
        <item x="209"/>
        <item x="194"/>
        <item x="256"/>
        <item x="137"/>
        <item x="63"/>
        <item x="11"/>
        <item x="124"/>
        <item x="46"/>
        <item x="285"/>
        <item x="108"/>
        <item x="182"/>
        <item x="114"/>
        <item x="134"/>
        <item x="125"/>
        <item x="25"/>
        <item x="243"/>
        <item x="77"/>
        <item x="280"/>
        <item x="151"/>
        <item x="247"/>
        <item x="121"/>
        <item x="47"/>
        <item x="287"/>
        <item x="41"/>
        <item x="57"/>
        <item x="49"/>
        <item x="86"/>
        <item x="196"/>
        <item x="30"/>
        <item x="147"/>
        <item x="132"/>
        <item x="42"/>
        <item x="224"/>
        <item x="3"/>
        <item x="160"/>
        <item x="111"/>
        <item x="191"/>
        <item x="68"/>
        <item x="27"/>
        <item x="289"/>
        <item x="254"/>
        <item x="65"/>
        <item x="283"/>
        <item x="91"/>
        <item x="245"/>
        <item x="204"/>
        <item x="45"/>
        <item x="107"/>
        <item x="180"/>
        <item x="131"/>
        <item x="279"/>
        <item x="48"/>
        <item x="2"/>
        <item x="55"/>
        <item x="62"/>
        <item x="122"/>
        <item x="5"/>
        <item x="54"/>
        <item x="200"/>
        <item x="17"/>
        <item x="129"/>
        <item x="24"/>
        <item x="35"/>
        <item x="138"/>
        <item x="76"/>
        <item x="164"/>
        <item x="248"/>
        <item x="28"/>
        <item x="169"/>
        <item x="23"/>
        <item x="128"/>
        <item x="36"/>
        <item x="201"/>
        <item x="271"/>
        <item x="133"/>
        <item x="92"/>
        <item x="226"/>
        <item x="176"/>
        <item x="157"/>
        <item x="139"/>
        <item x="214"/>
        <item x="148"/>
        <item x="181"/>
        <item x="273"/>
        <item x="43"/>
        <item x="276"/>
        <item x="83"/>
        <item x="154"/>
        <item x="116"/>
        <item x="286"/>
        <item x="15"/>
        <item x="106"/>
        <item x="265"/>
        <item x="4"/>
        <item x="143"/>
        <item x="37"/>
        <item x="262"/>
        <item x="162"/>
        <item x="234"/>
        <item x="249"/>
        <item x="264"/>
        <item x="105"/>
        <item x="100"/>
        <item x="221"/>
        <item x="99"/>
        <item x="112"/>
        <item x="172"/>
        <item x="192"/>
        <item x="126"/>
        <item x="246"/>
        <item x="228"/>
        <item x="195"/>
        <item x="261"/>
        <item x="33"/>
        <item x="8"/>
        <item x="244"/>
        <item x="171"/>
        <item x="168"/>
        <item x="89"/>
        <item x="161"/>
        <item x="119"/>
        <item x="241"/>
        <item x="197"/>
        <item x="166"/>
        <item x="6"/>
        <item x="87"/>
        <item x="203"/>
        <item x="14"/>
        <item x="7"/>
        <item x="238"/>
        <item x="22"/>
        <item x="110"/>
        <item x="275"/>
        <item x="104"/>
        <item x="1"/>
        <item x="70"/>
        <item x="140"/>
        <item x="236"/>
        <item x="120"/>
        <item x="95"/>
        <item x="82"/>
        <item x="257"/>
        <item x="258"/>
        <item x="230"/>
        <item x="127"/>
        <item x="267"/>
        <item x="9"/>
        <item x="13"/>
        <item x="199"/>
        <item x="270"/>
        <item x="183"/>
        <item x="178"/>
        <item x="142"/>
        <item x="288"/>
        <item x="232"/>
        <item x="251"/>
        <item x="186"/>
        <item x="117"/>
        <item x="109"/>
        <item x="16"/>
        <item x="97"/>
        <item x="212"/>
        <item x="290"/>
        <item x="155"/>
        <item x="61"/>
        <item x="268"/>
        <item x="34"/>
        <item x="177"/>
        <item x="113"/>
        <item x="260"/>
        <item x="259"/>
        <item x="208"/>
        <item x="102"/>
        <item x="235"/>
        <item x="281"/>
        <item x="153"/>
        <item x="216"/>
        <item x="174"/>
        <item x="64"/>
        <item x="229"/>
        <item x="284"/>
        <item x="94"/>
        <item x="38"/>
        <item x="233"/>
        <item x="159"/>
        <item x="149"/>
        <item x="278"/>
        <item x="189"/>
        <item x="220"/>
        <item x="144"/>
        <item x="219"/>
        <item x="103"/>
        <item x="19"/>
        <item x="123"/>
        <item x="252"/>
        <item x="185"/>
        <item x="206"/>
        <item x="59"/>
        <item x="269"/>
        <item x="136"/>
        <item x="156"/>
        <item x="263"/>
        <item t="default"/>
      </items>
    </pivotField>
    <pivotField dataField="1" numFmtId="1" showAll="0"/>
    <pivotField dataField="1" numFmtId="1" showAll="0"/>
    <pivotField numFmtId="1" showAll="0"/>
    <pivotField numFmtId="1" showAll="0"/>
    <pivotField numFmtId="1" showAll="0"/>
    <pivotField showAll="0"/>
    <pivotField showAll="0"/>
    <pivotField showAll="0"/>
    <pivotField showAll="0"/>
    <pivotField showAll="0"/>
    <pivotField numFmtId="9" showAll="0"/>
  </pivotFields>
  <rowFields count="2">
    <field x="1"/>
    <field x="3"/>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Fields count="1">
    <field x="-2"/>
  </colFields>
  <colItems count="3">
    <i>
      <x/>
    </i>
    <i i="1">
      <x v="1"/>
    </i>
    <i i="2">
      <x v="2"/>
    </i>
  </colItems>
  <dataFields count="3">
    <dataField name="Likes count" fld="5" baseField="0" baseItem="0" numFmtId="1"/>
    <dataField name="Shares count" fld="6" baseField="0" baseItem="0" numFmtId="1"/>
    <dataField name="Comments count" fld="7" baseField="0" baseItem="0" numFmtId="1"/>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FD20F5-35D6-479A-A774-908354331A57}"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 firstHeaderRow="1" firstDataRow="1" firstDataCol="1" rowPageCount="1" colPageCount="1"/>
  <pivotFields count="17">
    <pivotField showAll="0"/>
    <pivotField axis="axisRow" showAll="0">
      <items count="5">
        <item x="3"/>
        <item x="2"/>
        <item x="0"/>
        <item x="1"/>
        <item t="default"/>
      </items>
    </pivotField>
    <pivotField showAll="0"/>
    <pivotField axis="axisPage" showAll="0">
      <items count="7">
        <item x="3"/>
        <item x="4"/>
        <item x="0"/>
        <item x="2"/>
        <item x="1"/>
        <item x="5"/>
        <item t="default"/>
      </items>
    </pivotField>
    <pivotField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dataField="1" numFmtId="9" showAll="0"/>
  </pivotFields>
  <rowFields count="1">
    <field x="1"/>
  </rowFields>
  <rowItems count="4">
    <i>
      <x/>
    </i>
    <i>
      <x v="1"/>
    </i>
    <i>
      <x v="2"/>
    </i>
    <i>
      <x v="3"/>
    </i>
  </rowItems>
  <colItems count="1">
    <i/>
  </colItems>
  <pageFields count="1">
    <pageField fld="3" hier="-1"/>
  </pageFields>
  <dataFields count="1">
    <dataField name="Average of Engagement Rate" fld="16" subtotal="average" baseField="1" baseItem="0" numFmtId="9"/>
  </dataField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473ECA-4A8A-4A67-8020-3497EB4D9954}" name="PivotTable40" cacheId="1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2:Q6" firstHeaderRow="0" firstDataRow="1" firstDataCol="1"/>
  <pivotFields count="22">
    <pivotField showAll="0"/>
    <pivotField axis="axisRow" showAll="0">
      <items count="5">
        <item x="3"/>
        <item x="2"/>
        <item x="0"/>
        <item x="1"/>
        <item t="default"/>
      </items>
    </pivotField>
    <pivotField showAll="0"/>
    <pivotField showAll="0"/>
    <pivotField showAll="0"/>
    <pivotField dataField="1" numFmtId="1" showAll="0"/>
    <pivotField dataField="1" numFmtId="1" showAll="0"/>
    <pivotField dataField="1" numFmtId="1" showAll="0"/>
    <pivotField numFmtId="1" showAll="0"/>
    <pivotField numFmtId="1" showAll="0"/>
    <pivotField numFmtId="1" showAll="0"/>
    <pivotField showAll="0"/>
    <pivotField showAll="0"/>
    <pivotField showAll="0"/>
    <pivotField showAll="0"/>
    <pivotField showAll="0"/>
    <pivotField numFmtId="9" showAll="0"/>
    <pivotField numFmtId="1"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
  </rowFields>
  <rowItems count="4">
    <i>
      <x/>
    </i>
    <i>
      <x v="1"/>
    </i>
    <i>
      <x v="2"/>
    </i>
    <i>
      <x v="3"/>
    </i>
  </rowItems>
  <colFields count="1">
    <field x="-2"/>
  </colFields>
  <colItems count="4">
    <i>
      <x/>
    </i>
    <i i="1">
      <x v="1"/>
    </i>
    <i i="2">
      <x v="2"/>
    </i>
    <i i="3">
      <x v="3"/>
    </i>
  </colItems>
  <dataFields count="4">
    <dataField name="Sum of Likes" fld="5" baseField="0" baseItem="0" numFmtId="1"/>
    <dataField name="Sum of Shares" fld="6" baseField="0" baseItem="0" numFmtId="1"/>
    <dataField name="Sum of Comments" fld="7" baseField="0" baseItem="0" numFmtId="1"/>
    <dataField name="Engagement(likes+shares+comments)" fld="20" baseField="0" baseItem="0" numFmtId="1"/>
  </dataField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DF50A2-DB07-4EC9-83B8-9A31E18E649E}" name="PivotTable38" cacheId="10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B6" firstHeaderRow="1" firstDataRow="1" firstDataCol="1"/>
  <pivotFields count="7">
    <pivotField showAll="0"/>
    <pivotField axis="axisRow" showAll="0">
      <items count="5">
        <item x="1"/>
        <item x="0"/>
        <item x="2"/>
        <item x="3"/>
        <item t="default"/>
      </items>
    </pivotField>
    <pivotField showAll="0"/>
    <pivotField showAll="0"/>
    <pivotField showAll="0"/>
    <pivotField dataField="1" showAll="0"/>
    <pivotField showAll="0"/>
  </pivotFields>
  <rowFields count="1">
    <field x="1"/>
  </rowFields>
  <rowItems count="4">
    <i>
      <x/>
    </i>
    <i>
      <x v="1"/>
    </i>
    <i>
      <x v="2"/>
    </i>
    <i>
      <x v="3"/>
    </i>
  </rowItems>
  <colItems count="1">
    <i/>
  </colItems>
  <dataFields count="1">
    <dataField name="Average of Engagement_Rate" fld="5" subtotal="average" baseField="1"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B79CA9-D868-4E79-88FF-AD73111627C2}" name="PivotTable31" cacheId="10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29:C33" firstHeaderRow="0" firstDataRow="1" firstDataCol="1"/>
  <pivotFields count="7">
    <pivotField showAll="0"/>
    <pivotField axis="axisRow" showAll="0">
      <items count="5">
        <item x="1"/>
        <item x="0"/>
        <item x="2"/>
        <item x="3"/>
        <item t="default"/>
      </items>
    </pivotField>
    <pivotField showAll="0"/>
    <pivotField showAll="0"/>
    <pivotField showAll="0"/>
    <pivotField dataField="1" showAll="0"/>
    <pivotField dataField="1" showAll="0"/>
  </pivotFields>
  <rowFields count="1">
    <field x="1"/>
  </rowFields>
  <rowItems count="4">
    <i>
      <x/>
    </i>
    <i>
      <x v="1"/>
    </i>
    <i>
      <x v="2"/>
    </i>
    <i>
      <x v="3"/>
    </i>
  </rowItems>
  <colFields count="1">
    <field x="-2"/>
  </colFields>
  <colItems count="2">
    <i>
      <x/>
    </i>
    <i i="1">
      <x v="1"/>
    </i>
  </colItems>
  <dataFields count="2">
    <dataField name="Sum of Ad_Spend" fld="6" baseField="0" baseItem="0"/>
    <dataField name="Average of Engagement_Rate" fld="5" subtotal="average"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CCE783-9E2A-4338-9ADF-9B3D5E3E37C0}" name="PivotTable28" cacheId="10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2:B16" firstHeaderRow="1" firstDataRow="1" firstDataCol="1"/>
  <pivotFields count="7">
    <pivotField showAll="0"/>
    <pivotField axis="axisRow" showAll="0">
      <items count="5">
        <item x="1"/>
        <item x="0"/>
        <item x="2"/>
        <item x="3"/>
        <item t="default"/>
      </items>
    </pivotField>
    <pivotField dataField="1" showAll="0"/>
    <pivotField showAll="0"/>
    <pivotField showAll="0"/>
    <pivotField showAll="0"/>
    <pivotField showAll="0"/>
  </pivotFields>
  <rowFields count="1">
    <field x="1"/>
  </rowFields>
  <rowItems count="4">
    <i>
      <x/>
    </i>
    <i>
      <x v="1"/>
    </i>
    <i>
      <x v="2"/>
    </i>
    <i>
      <x v="3"/>
    </i>
  </rowItems>
  <colItems count="1">
    <i/>
  </colItems>
  <dataFields count="1">
    <dataField name="Sum of New_Follower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DFE730-91E0-4773-BFFC-F14CB6C41392}" name="PivotTable46" cacheId="1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46:B74" firstHeaderRow="1" firstDataRow="1" firstDataCol="1"/>
  <pivotFields count="22">
    <pivotField showAll="0"/>
    <pivotField axis="axisRow" showAll="0">
      <items count="5">
        <item x="3"/>
        <item x="2"/>
        <item x="0"/>
        <item x="1"/>
        <item t="default"/>
      </items>
    </pivotField>
    <pivotField showAll="0"/>
    <pivotField axis="axisRow" showAll="0">
      <items count="7">
        <item x="3"/>
        <item x="4"/>
        <item x="0"/>
        <item x="2"/>
        <item x="1"/>
        <item x="5"/>
        <item t="default"/>
      </items>
    </pivotField>
    <pivotField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numFmtId="9" showAll="0"/>
    <pivotField numFmtId="1"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2">
    <field x="1"/>
    <field x="3"/>
  </rowFields>
  <rowItems count="28">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rowItems>
  <colItems count="1">
    <i/>
  </colItems>
  <dataFields count="1">
    <dataField name="Avg. Engagement(Likes, shares, comments)" fld="20" subtotal="average" baseField="3"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759B45-96DE-4D0D-ABB2-95EBA6AA2276}" name="PivotTable45" cacheId="14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location ref="A26:B41" firstHeaderRow="1" firstDataRow="1" firstDataCol="1"/>
  <pivotFields count="22">
    <pivotField showAll="0"/>
    <pivotField axis="axisRow" showAll="0">
      <items count="5">
        <item x="3"/>
        <item x="2"/>
        <item x="0"/>
        <item x="1"/>
        <item t="default"/>
      </items>
    </pivotField>
    <pivotField showAll="0"/>
    <pivotField axis="axisRow" showAll="0">
      <items count="7">
        <item x="3"/>
        <item x="4"/>
        <item h="1" x="0"/>
        <item h="1" x="2"/>
        <item h="1" x="1"/>
        <item x="5"/>
        <item t="default"/>
      </items>
    </pivotField>
    <pivotField showAll="0"/>
    <pivotField numFmtId="1" showAll="0"/>
    <pivotField numFmtId="1" showAll="0"/>
    <pivotField numFmtId="1" showAll="0"/>
    <pivotField numFmtId="1" showAll="0"/>
    <pivotField numFmtId="1" showAll="0"/>
    <pivotField numFmtId="1" showAll="0"/>
    <pivotField showAll="0"/>
    <pivotField showAll="0"/>
    <pivotField showAll="0"/>
    <pivotField showAll="0"/>
    <pivotField showAll="0"/>
    <pivotField numFmtId="9" showAll="0"/>
    <pivotField numFmtId="1"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2">
    <field x="3"/>
    <field x="1"/>
  </rowFields>
  <rowItems count="15">
    <i>
      <x/>
    </i>
    <i r="1">
      <x/>
    </i>
    <i r="1">
      <x v="1"/>
    </i>
    <i r="1">
      <x v="2"/>
    </i>
    <i r="1">
      <x v="3"/>
    </i>
    <i>
      <x v="1"/>
    </i>
    <i r="1">
      <x/>
    </i>
    <i r="1">
      <x v="1"/>
    </i>
    <i r="1">
      <x v="2"/>
    </i>
    <i r="1">
      <x v="3"/>
    </i>
    <i>
      <x v="5"/>
    </i>
    <i r="1">
      <x/>
    </i>
    <i r="1">
      <x v="1"/>
    </i>
    <i r="1">
      <x v="2"/>
    </i>
    <i r="1">
      <x v="3"/>
    </i>
  </rowItems>
  <colItems count="1">
    <i/>
  </colItems>
  <dataFields count="1">
    <dataField name="Avg. Performance" fld="21" subtotal="average" baseField="3" baseItem="0" numFmtId="1"/>
  </dataFields>
  <chartFormats count="1">
    <chartFormat chart="31"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F5C030-3ED7-477F-8B7B-56AF01E0D224}" name="PivotTable42" cacheId="1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15:D21" firstHeaderRow="0" firstDataRow="1" firstDataCol="1"/>
  <pivotFields count="4">
    <pivotField axis="axisRow" showAll="0">
      <items count="7">
        <item x="1"/>
        <item x="3"/>
        <item x="0"/>
        <item x="2"/>
        <item x="5"/>
        <item x="4"/>
        <item t="default"/>
      </items>
    </pivotField>
    <pivotField dataField="1" showAll="0"/>
    <pivotField dataField="1" showAll="0"/>
    <pivotField dataField="1" dragToRow="0" dragToCol="0" dragToPage="0" showAll="0" defaultSubtotal="0"/>
  </pivotFields>
  <rowFields count="1">
    <field x="0"/>
  </rowFields>
  <rowItems count="6">
    <i>
      <x/>
    </i>
    <i>
      <x v="1"/>
    </i>
    <i>
      <x v="2"/>
    </i>
    <i>
      <x v="3"/>
    </i>
    <i>
      <x v="4"/>
    </i>
    <i>
      <x v="5"/>
    </i>
  </rowItems>
  <colFields count="1">
    <field x="-2"/>
  </colFields>
  <colItems count="3">
    <i>
      <x/>
    </i>
    <i i="1">
      <x v="1"/>
    </i>
    <i i="2">
      <x v="2"/>
    </i>
  </colItems>
  <dataFields count="3">
    <dataField name="Average Likes " fld="1" baseField="0" baseItem="0"/>
    <dataField name="Average Comments" fld="2" baseField="0" baseItem="0"/>
    <dataField name="Average Performance of Posts for each Hashtag" fld="3" baseField="0" baseItem="0"/>
  </dataField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75D42C-CFC5-4F3D-AD54-D8D8CA10C6C9}" name="PivotTable41" cacheId="1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9" firstHeaderRow="1" firstDataRow="1" firstDataCol="1"/>
  <pivotFields count="2">
    <pivotField showAll="0"/>
    <pivotField axis="axisRow" dataField="1" showAll="0" sortType="descending">
      <items count="7">
        <item x="1"/>
        <item x="3"/>
        <item x="0"/>
        <item x="2"/>
        <item x="5"/>
        <item x="4"/>
        <item t="default"/>
      </items>
      <autoSortScope>
        <pivotArea dataOnly="0" outline="0" fieldPosition="0">
          <references count="1">
            <reference field="4294967294" count="1" selected="0">
              <x v="0"/>
            </reference>
          </references>
        </pivotArea>
      </autoSortScope>
    </pivotField>
  </pivotFields>
  <rowFields count="1">
    <field x="1"/>
  </rowFields>
  <rowItems count="6">
    <i>
      <x v="3"/>
    </i>
    <i>
      <x v="5"/>
    </i>
    <i>
      <x v="2"/>
    </i>
    <i>
      <x/>
    </i>
    <i>
      <x v="1"/>
    </i>
    <i>
      <x v="4"/>
    </i>
  </rowItems>
  <colItems count="1">
    <i/>
  </colItems>
  <dataFields count="1">
    <dataField name="Count of ALL Hashtags" fld="1" subtotal="count" baseField="0" baseItem="0"/>
  </dataField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F97011-D241-40E7-AA96-7EB3710BA718}" name="PivotTable48"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5:B29" firstHeaderRow="1" firstDataRow="1" firstDataCol="1"/>
  <pivotFields count="18">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axis="axisRow" showAll="0">
      <items count="6">
        <item x="3"/>
        <item x="1"/>
        <item x="2"/>
        <item x="0"/>
        <item h="1" x="4"/>
        <item t="default"/>
      </items>
    </pivotField>
    <pivotField showAll="0"/>
    <pivotField showAll="0"/>
    <pivotField showAll="0"/>
    <pivotField numFmtId="9" showAll="0"/>
    <pivotField dataField="1" numFmtId="1" showAll="0"/>
  </pivotFields>
  <rowFields count="1">
    <field x="12"/>
  </rowFields>
  <rowItems count="4">
    <i>
      <x/>
    </i>
    <i>
      <x v="1"/>
    </i>
    <i>
      <x v="2"/>
    </i>
    <i>
      <x v="3"/>
    </i>
  </rowItems>
  <colItems count="1">
    <i/>
  </colItems>
  <dataFields count="1">
    <dataField name="Total Engagement" fld="1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C91427-B48D-4587-BD83-A5E40D1DE7CA}" name="PivotTable47" cacheId="14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7" firstHeaderRow="0" firstDataRow="1" firstDataCol="1"/>
  <pivotFields count="22">
    <pivotField showAll="0"/>
    <pivotField showAll="0"/>
    <pivotField showAll="0"/>
    <pivotField showAll="0"/>
    <pivotField showAll="0"/>
    <pivotField dataField="1" numFmtId="1" showAll="0"/>
    <pivotField numFmtId="1" showAll="0"/>
    <pivotField numFmtId="1" showAll="0"/>
    <pivotField dataField="1" numFmtId="1" showAll="0"/>
    <pivotField numFmtId="1" showAll="0"/>
    <pivotField dataField="1" numFmtId="1" showAll="0"/>
    <pivotField showAll="0"/>
    <pivotField axis="axisRow" showAll="0">
      <items count="6">
        <item x="3"/>
        <item x="1"/>
        <item x="2"/>
        <item x="0"/>
        <item h="1" x="4"/>
        <item t="default"/>
      </items>
    </pivotField>
    <pivotField showAll="0"/>
    <pivotField showAll="0"/>
    <pivotField showAll="0"/>
    <pivotField numFmtId="9" showAll="0"/>
    <pivotField numFmtI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x v="3"/>
    </i>
  </rowItems>
  <colFields count="1">
    <field x="-2"/>
  </colFields>
  <colItems count="6">
    <i>
      <x/>
    </i>
    <i i="1">
      <x v="1"/>
    </i>
    <i i="2">
      <x v="2"/>
    </i>
    <i i="3">
      <x v="3"/>
    </i>
    <i i="4">
      <x v="4"/>
    </i>
    <i i="5">
      <x v="5"/>
    </i>
  </colItems>
  <dataFields count="6">
    <dataField name="Total Impressions" fld="8" baseField="0" baseItem="0" numFmtId="1"/>
    <dataField name="Total Likes" fld="5" baseField="0" baseItem="0" numFmtId="1"/>
    <dataField name="Total Clicks" fld="10" baseField="0" baseItem="0" numFmtId="1"/>
    <dataField name="Average  Impressions" fld="8" subtotal="average" baseField="12" baseItem="0" numFmtId="1"/>
    <dataField name="Average Likes" fld="5" subtotal="average" baseField="12" baseItem="0" numFmtId="1"/>
    <dataField name="Average Clicks" fld="10" subtotal="average" baseField="12" baseItem="0" numFmtId="1"/>
  </dataField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B66D29-62B7-498E-B7C6-1D21607DB262}" name="PivotTable66" cacheId="18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77:E82" firstHeaderRow="1" firstDataRow="2" firstDataCol="1"/>
  <pivotFields count="11">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numFmtId="1" showAll="0"/>
    <pivotField numFmtId="1" showAll="0"/>
    <pivotField dataField="1" showAll="0"/>
    <pivotField showAll="0"/>
    <pivotField numFmtId="1" showAll="0"/>
    <pivotField showAll="0" defaultSubtotal="0">
      <items count="14">
        <item h="1" sd="0" x="0"/>
        <item sd="0" x="1"/>
        <item h="1" sd="0" x="2"/>
        <item h="1" sd="0" x="3"/>
        <item h="1" sd="0" x="4"/>
        <item h="1" sd="0" x="5"/>
        <item h="1" sd="0" x="6"/>
        <item h="1" sd="0" x="7"/>
        <item h="1" sd="0" x="8"/>
        <item h="1" sd="0" x="9"/>
        <item h="1" sd="0" x="10"/>
        <item h="1" sd="0" x="11"/>
        <item h="1" sd="0" x="12"/>
        <item h="1"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s>
  <rowFields count="1">
    <field x="0"/>
  </rowFields>
  <rowItems count="4">
    <i>
      <x v="31"/>
    </i>
    <i>
      <x v="32"/>
    </i>
    <i>
      <x v="33"/>
    </i>
    <i>
      <x v="34"/>
    </i>
  </rowItems>
  <colFields count="1">
    <field x="1"/>
  </colFields>
  <colItems count="4">
    <i>
      <x/>
    </i>
    <i>
      <x v="1"/>
    </i>
    <i>
      <x v="2"/>
    </i>
    <i>
      <x v="3"/>
    </i>
  </colItems>
  <dataFields count="1">
    <dataField name="Sum of Total_Followers" fld="4" baseField="0" baseItem="0"/>
  </dataFields>
  <chartFormats count="4">
    <chartFormat chart="8" format="4" series="1">
      <pivotArea type="data" outline="0" fieldPosition="0">
        <references count="2">
          <reference field="4294967294" count="1" selected="0">
            <x v="0"/>
          </reference>
          <reference field="1" count="1" selected="0">
            <x v="2"/>
          </reference>
        </references>
      </pivotArea>
    </chartFormat>
    <chartFormat chart="8" format="5" series="1">
      <pivotArea type="data" outline="0" fieldPosition="0">
        <references count="2">
          <reference field="4294967294" count="1" selected="0">
            <x v="0"/>
          </reference>
          <reference field="1" count="1" selected="0">
            <x v="3"/>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F107AC-8065-4FB6-B281-5D17FB88D379}" name="PivotTable65" cacheId="18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1:B71" firstHeaderRow="1" firstDataRow="1" firstDataCol="1"/>
  <pivotFields count="11">
    <pivotField axis="axisRow" numFmtId="14" showAll="0"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showAll="0"/>
    <pivotField showAll="0"/>
    <pivotField numFmtI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ataField="1" dragToRow="0" dragToCol="0" dragToPage="0" showAll="0" defaultSubtotal="0"/>
  </pivotFields>
  <rowFields count="1">
    <field x="0"/>
  </rowFields>
  <rowItems count="50">
    <i>
      <x v="30"/>
    </i>
    <i>
      <x v="36"/>
    </i>
    <i>
      <x v="28"/>
    </i>
    <i>
      <x v="38"/>
    </i>
    <i>
      <x v="26"/>
    </i>
    <i>
      <x v="27"/>
    </i>
    <i>
      <x v="48"/>
    </i>
    <i>
      <x v="22"/>
    </i>
    <i>
      <x v="14"/>
    </i>
    <i>
      <x v="43"/>
    </i>
    <i>
      <x v="41"/>
    </i>
    <i>
      <x v="46"/>
    </i>
    <i>
      <x v="25"/>
    </i>
    <i>
      <x v="29"/>
    </i>
    <i>
      <x v="2"/>
    </i>
    <i>
      <x v="18"/>
    </i>
    <i>
      <x v="10"/>
    </i>
    <i>
      <x v="40"/>
    </i>
    <i>
      <x v="37"/>
    </i>
    <i>
      <x v="33"/>
    </i>
    <i>
      <x v="47"/>
    </i>
    <i>
      <x v="31"/>
    </i>
    <i>
      <x/>
    </i>
    <i>
      <x v="34"/>
    </i>
    <i>
      <x v="16"/>
    </i>
    <i>
      <x v="17"/>
    </i>
    <i>
      <x v="5"/>
    </i>
    <i>
      <x v="3"/>
    </i>
    <i>
      <x v="11"/>
    </i>
    <i>
      <x v="1"/>
    </i>
    <i>
      <x v="12"/>
    </i>
    <i>
      <x v="13"/>
    </i>
    <i>
      <x v="20"/>
    </i>
    <i>
      <x v="32"/>
    </i>
    <i>
      <x v="7"/>
    </i>
    <i>
      <x v="21"/>
    </i>
    <i>
      <x v="44"/>
    </i>
    <i>
      <x v="39"/>
    </i>
    <i>
      <x v="23"/>
    </i>
    <i>
      <x v="6"/>
    </i>
    <i>
      <x v="35"/>
    </i>
    <i>
      <x v="8"/>
    </i>
    <i>
      <x v="49"/>
    </i>
    <i>
      <x v="19"/>
    </i>
    <i>
      <x v="42"/>
    </i>
    <i>
      <x v="15"/>
    </i>
    <i>
      <x v="4"/>
    </i>
    <i>
      <x v="9"/>
    </i>
    <i>
      <x v="24"/>
    </i>
    <i>
      <x v="45"/>
    </i>
  </rowItems>
  <colItems count="1">
    <i/>
  </colItems>
  <dataFields count="1">
    <dataField name="Net Follower Gain" fld="10" baseField="0" baseItem="0" numFmtId="1"/>
  </dataFields>
  <formats count="2">
    <format dxfId="5">
      <pivotArea dataOnly="0" labelOnly="1" fieldPosition="0">
        <references count="1">
          <reference field="0" count="1">
            <x v="30"/>
          </reference>
        </references>
      </pivotArea>
    </format>
    <format dxfId="4">
      <pivotArea collapsedLevelsAreSubtotals="1" fieldPosition="0">
        <references count="1">
          <reference field="0" count="1">
            <x v="3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08DC14-D847-401F-9ECD-0D900744E501}" name="PivotTable64" cacheId="18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E9" firstHeaderRow="1" firstDataRow="2" firstDataCol="1"/>
  <pivotFields count="11">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dataField="1" numFmtId="1" showAll="0"/>
    <pivotField numFmtId="1" showAll="0"/>
    <pivotField showAll="0"/>
    <pivotField showAll="0"/>
    <pivotField numFmtId="1" showAll="0"/>
    <pivotField showAll="0">
      <items count="15">
        <item h="1" sd="0" x="0"/>
        <item h="1" sd="0" x="1"/>
        <item h="1" sd="0" x="2"/>
        <item h="1" sd="0" x="3"/>
        <item h="1" sd="0" x="4"/>
        <item h="1" sd="0" x="5"/>
        <item h="1" sd="0" x="6"/>
        <item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0"/>
  </rowFields>
  <rowItems count="5">
    <i>
      <x v="4"/>
    </i>
    <i>
      <x v="5"/>
    </i>
    <i>
      <x v="6"/>
    </i>
    <i>
      <x v="7"/>
    </i>
    <i>
      <x v="8"/>
    </i>
  </rowItems>
  <colFields count="1">
    <field x="1"/>
  </colFields>
  <colItems count="4">
    <i>
      <x/>
    </i>
    <i>
      <x v="1"/>
    </i>
    <i>
      <x v="2"/>
    </i>
    <i>
      <x v="3"/>
    </i>
  </colItems>
  <dataFields count="1">
    <dataField name="Sum of New_Followers" fld="2" baseField="0" baseItem="0" numFmtId="1"/>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9A5B98C-B5E8-49C7-8682-D79D21A43CEB}" autoFormatId="16" applyNumberFormats="0" applyBorderFormats="0" applyFontFormats="0" applyPatternFormats="0" applyAlignmentFormats="0" applyWidthHeightFormats="0">
  <queryTableRefresh nextId="4">
    <queryTableFields count="3">
      <queryTableField id="1" name="Campaign_Name" tableColumnId="1"/>
      <queryTableField id="2" name="Campaign Period" tableColumnId="2"/>
      <queryTableField id="3" name="Average Engagement"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9CF9125D-0EA7-4F6D-B6A6-D4E9F033B21E}" autoFormatId="16" applyNumberFormats="0" applyBorderFormats="0" applyFontFormats="0" applyPatternFormats="0" applyAlignmentFormats="0" applyWidthHeightFormats="0">
  <queryTableRefresh nextId="4" unboundColumnsRight="1">
    <queryTableFields count="3">
      <queryTableField id="1" name="Clicks for all hashtags" tableColumnId="1"/>
      <queryTableField id="2" name="ALL Hashtags" tableColumnId="2"/>
      <queryTableField id="3" dataBound="0"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7" xr16:uid="{6124346C-5E59-4562-ADCD-FBC5EC1843E3}" autoFormatId="16" applyNumberFormats="0" applyBorderFormats="0" applyFontFormats="0" applyPatternFormats="0" applyAlignmentFormats="0" applyWidthHeightFormats="0">
  <queryTableRefresh nextId="5" unboundColumnsRight="1">
    <queryTableFields count="4">
      <queryTableField id="1" name="Likes" tableColumnId="1"/>
      <queryTableField id="2" name="Comments" tableColumnId="2"/>
      <queryTableField id="3" name="All hashtags" tableColumnId="3"/>
      <queryTableField id="4" dataBound="0"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Week_Start_Date" xr10:uid="{3494ED9F-FB3A-4A69-9C2F-2AE4013F1DBF}" sourceName="Months (Week_Start_Date)">
  <pivotTables>
    <pivotTable tabId="14" name="PivotTable64"/>
  </pivotTables>
  <data>
    <tabular pivotCacheId="2089995599">
      <items count="14">
        <i x="1"/>
        <i x="2"/>
        <i x="3"/>
        <i x="4"/>
        <i x="5"/>
        <i x="6"/>
        <i x="7" s="1"/>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Week_Start_Date1" xr10:uid="{B5A7B440-8767-427E-B82F-296B3BD9FCA2}" sourceName="Months (Week_Start_Date)">
  <pivotTables>
    <pivotTable tabId="14" name="PivotTable66"/>
  </pivotTables>
  <data>
    <tabular pivotCacheId="2089995599">
      <items count="14">
        <i x="1" s="1"/>
        <i x="2"/>
        <i x="3"/>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Week_Start_Date)" xr10:uid="{514A1BD8-138F-4246-B939-24115B4105CB}" cache="Slicer_Months__Week_Start_Date" caption="Months (Week_Start_Date)" rowHeight="234950"/>
  <slicer name="Months (Week_Start_Date) 1" xr10:uid="{F955E8BA-2717-49C2-B739-CAE4C9AF512D}" cache="Slicer_Months__Week_Start_Date1" caption="Months (Week_Start_Dat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F22FDC-B371-41EA-99DC-586DE14FE4F2}" name="Table8" displayName="Table8" ref="A78:B82" totalsRowShown="0" headerRowDxfId="30" dataDxfId="31">
  <autoFilter ref="A78:B82" xr:uid="{38F22FDC-B371-41EA-99DC-586DE14FE4F2}"/>
  <tableColumns count="2">
    <tableColumn id="1" xr3:uid="{0C9D15B2-2392-4141-B421-D16C7201DCCD}" name="Platform" dataDxfId="33"/>
    <tableColumn id="2" xr3:uid="{C1E63545-0F89-49AA-963D-2E9D0141521E}" name="Priority content type"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F1053F8-A8F5-4EC8-861C-38AF035EEB29}" name="Merge1" displayName="Merge1" ref="A12:C20" tableType="queryTable" totalsRowShown="0">
  <autoFilter ref="A12:C20" xr:uid="{4F1053F8-A8F5-4EC8-861C-38AF035EEB29}"/>
  <sortState xmlns:xlrd2="http://schemas.microsoft.com/office/spreadsheetml/2017/richdata2" ref="A13:C20">
    <sortCondition descending="1" ref="A12:A20"/>
  </sortState>
  <tableColumns count="3">
    <tableColumn id="1" xr3:uid="{4154C4DD-64D4-4E4C-AB36-510D76D0C028}" uniqueName="1" name="Campaign_Name" queryTableFieldId="1" dataDxfId="17"/>
    <tableColumn id="2" xr3:uid="{336CED5E-A474-4642-9EC0-F0D203311EE3}" uniqueName="2" name="Campaign Period" queryTableFieldId="2"/>
    <tableColumn id="3" xr3:uid="{5DDF603D-C8DF-4C1F-B545-23D7373A1984}" uniqueName="3" name="Average Engagement"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5908BD9-61D3-4973-BD60-1C960825E68A}" name="Table15" displayName="Table15" ref="A35:D39" totalsRowShown="0" headerRowDxfId="6">
  <autoFilter ref="A35:D39" xr:uid="{95908BD9-61D3-4973-BD60-1C960825E68A}"/>
  <tableColumns count="4">
    <tableColumn id="1" xr3:uid="{23C8A1F6-E4E7-4DA1-9A2D-831C7AA5FD25}" name="Campaign_Name"/>
    <tableColumn id="2" xr3:uid="{1EA05F4D-115E-456B-A9C6-ED82A2FA554E}" name="Start_Date"/>
    <tableColumn id="3" xr3:uid="{4A3BF2E1-0447-4511-9657-FFEC2E51BD2D}" name="End_Date"/>
    <tableColumn id="4" xr3:uid="{E9F9715E-F5FA-40BC-B93D-0E63CC09C9FE}" name="Total New Followers">
      <calculatedColumnFormula>SUMIFS('Engagement Summary'!C:C, 'Engagement Summary'!A:A, "&gt;="&amp;B36, 'Engagement Summary'!A:A, "&lt;="&amp;C36)</calculatedColumnFormula>
    </tableColumn>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7DD5D8-9865-4FAE-A6CC-587EFE9845B2}" name="Table2" displayName="Table2" ref="A1:R300" totalsRowCount="1" headerRowDxfId="55">
  <autoFilter ref="A1:R299" xr:uid="{597DD5D8-9865-4FAE-A6CC-587EFE9845B2}"/>
  <tableColumns count="18">
    <tableColumn id="1" xr3:uid="{79406FB6-2391-4E0E-8CE0-9E4C972F12D1}" name="Post ID" dataDxfId="72" totalsRowDxfId="50"/>
    <tableColumn id="2" xr3:uid="{DEB22279-D68C-4FE0-A721-E4831453DEF3}" name="Platform" dataDxfId="71" totalsRowDxfId="49"/>
    <tableColumn id="3" xr3:uid="{DFF0DE54-143F-4A4B-B74B-7917111DBAA7}" name="Date" dataDxfId="70" totalsRowDxfId="48"/>
    <tableColumn id="4" xr3:uid="{A8168298-98D1-46F2-928F-565CEF20C880}" name="Content Type" dataDxfId="69" totalsRowDxfId="47"/>
    <tableColumn id="5" xr3:uid="{53A6AC75-229C-4A59-B5E3-8988CDC9D75B}" name="Post Text" dataDxfId="68" totalsRowDxfId="46"/>
    <tableColumn id="6" xr3:uid="{8C0DBBC7-C0B5-4CD6-B873-EB41AAAE3736}" name="Likes" dataDxfId="67" totalsRowDxfId="45"/>
    <tableColumn id="7" xr3:uid="{6ADB53FC-EAA9-4D13-AE83-35F295EB6DFB}" name="Shares" dataDxfId="66" totalsRowDxfId="44"/>
    <tableColumn id="8" xr3:uid="{6EB4A3EF-669F-4E39-AF53-1891D8D2A677}" name="Comments" dataDxfId="65" totalsRowDxfId="43"/>
    <tableColumn id="9" xr3:uid="{674DB49F-F28A-4876-81A5-0CC9BC5FE1BD}" name="Impressions" dataDxfId="64" totalsRowDxfId="42"/>
    <tableColumn id="10" xr3:uid="{96E51E09-2966-4C9F-9B50-1C762D47E0BB}" name="Reach" dataDxfId="63" totalsRowDxfId="41"/>
    <tableColumn id="11" xr3:uid="{BE3BB851-45EC-4CA7-B5F7-09621404A968}" name="Clicks" dataDxfId="62" totalsRowDxfId="40"/>
    <tableColumn id="12" xr3:uid="{C31A9AC0-11A9-4A73-BA44-5E88C23E6A85}" name="Hashtags Used" dataDxfId="51"/>
    <tableColumn id="13" xr3:uid="{C292B395-D766-49B0-B658-7C5959C2EAC7}" name="Campaign_Name" dataDxfId="61" totalsRowDxfId="39"/>
    <tableColumn id="14" xr3:uid="{1F6A48A6-95A4-47A6-BE47-D343850A6C54}" name="Hashtags 1" dataDxfId="60" totalsRowDxfId="38"/>
    <tableColumn id="15" xr3:uid="{7977E74F-192D-41C7-B405-D604EF55AB52}" name="Hashtag 2" dataDxfId="59" totalsRowDxfId="37"/>
    <tableColumn id="16" xr3:uid="{E1E71402-35BF-4413-B467-217C8C8DFB42}" name="Hashtag 3" dataDxfId="58" totalsRowDxfId="36"/>
    <tableColumn id="17" xr3:uid="{F74CE4E4-AE08-40D5-A2D5-E1A241AD4AE4}" name="Engagement Rate" dataDxfId="57" totalsRowDxfId="35" dataCellStyle="Per cent"/>
    <tableColumn id="18" xr3:uid="{9D89633B-7108-464D-928C-CFFB53013E9B}" name="Engagement" dataDxfId="56" totalsRowDxfId="34">
      <calculatedColumnFormula>F2+G2+H2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124FE6-B2D6-480C-9C11-E8E556B097FE}" name="Table2_1" displayName="Table2_1" ref="T1:V339" tableType="queryTable" totalsRowCount="1">
  <autoFilter ref="T1:V338" xr:uid="{09124FE6-B2D6-480C-9C11-E8E556B097FE}"/>
  <tableColumns count="3">
    <tableColumn id="1" xr3:uid="{35837E5F-DBDB-43F3-903A-6026D2BB80CE}" uniqueName="1" name="Clicks for all hashtags" queryTableFieldId="1"/>
    <tableColumn id="2" xr3:uid="{F512DEFF-DBE3-40CF-A54D-CED867F32DA4}" uniqueName="2" name="ALL Hashtags" queryTableFieldId="2" dataDxfId="54" totalsRowDxfId="52"/>
    <tableColumn id="3" xr3:uid="{02433930-B741-4391-8036-DA32C3A45E18}" uniqueName="3" name="Rank of Clicks" queryTableFieldId="3" dataDxfId="53">
      <calculatedColumnFormula>RANK(T2, T:T)</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6372B77-147F-4114-ADF3-AE2730AEF668}" name="Table2__3" displayName="Table2__3" ref="X2:AA339" tableType="queryTable" totalsRowShown="0">
  <autoFilter ref="X2:AA339" xr:uid="{C6372B77-147F-4114-ADF3-AE2730AEF668}"/>
  <tableColumns count="4">
    <tableColumn id="1" xr3:uid="{02BC381A-9CD0-46A0-A72C-CBB79D0F3AD1}" uniqueName="1" name="Likes" queryTableFieldId="1"/>
    <tableColumn id="2" xr3:uid="{300A51F0-E25A-46CC-B6EB-302CD4142E79}" uniqueName="2" name="Comments" queryTableFieldId="2"/>
    <tableColumn id="3" xr3:uid="{CC435019-F0FD-4E2D-A742-08DA4219455C}" uniqueName="3" name="All hashtags" queryTableFieldId="3" dataDxfId="28"/>
    <tableColumn id="4" xr3:uid="{2DF63B07-D69B-49CC-B67E-39A2926D588C}" uniqueName="4" name="Performance" queryTableFieldId="4" dataDxfId="29">
      <calculatedColumnFormula>X3+Y3</calculatedColumnFormula>
    </tableColumn>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A8339FC-2BB9-4D2B-B388-3F4D07DAD940}" name="Table14" displayName="Table14" ref="A1:G201" totalsRowShown="0" dataDxfId="7" headerRowBorderDxfId="15" tableBorderDxfId="16">
  <autoFilter ref="A1:G201" xr:uid="{2A8339FC-2BB9-4D2B-B388-3F4D07DAD940}"/>
  <tableColumns count="7">
    <tableColumn id="1" xr3:uid="{9E7551F1-4F0A-45AE-966D-5486423AB393}" name="Week_Start_Date" dataDxfId="14"/>
    <tableColumn id="2" xr3:uid="{DDA4BBFA-80C9-4DBE-A3ED-0EBDF93083C2}" name="Platform" dataDxfId="13"/>
    <tableColumn id="3" xr3:uid="{82D0A342-8131-4599-8E64-1B99952320D5}" name="New_Followers" dataDxfId="12"/>
    <tableColumn id="4" xr3:uid="{67865C9D-67A3-4C8A-9E35-67AC894F3312}" name="Unfollows" dataDxfId="11"/>
    <tableColumn id="5" xr3:uid="{87F59674-17E8-4C47-8983-0E0223113325}" name="Total_Followers" dataDxfId="10"/>
    <tableColumn id="6" xr3:uid="{C182D2CA-232E-4DA3-A0C6-A0BBF100E331}" name="Engagement_Rate" dataDxfId="9"/>
    <tableColumn id="7" xr3:uid="{B32BED89-F62C-4757-BB3A-E68148206976}" name="Ad_Spend" dataDxfId="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CB4F54D-ED9B-4835-9CD3-A0F714D3AC3F}" name="Table12" displayName="Table12" ref="A1:G5" totalsRowShown="0" headerRowBorderDxfId="26" tableBorderDxfId="27" totalsRowBorderDxfId="25">
  <autoFilter ref="A1:G5" xr:uid="{ECB4F54D-ED9B-4835-9CD3-A0F714D3AC3F}"/>
  <tableColumns count="7">
    <tableColumn id="1" xr3:uid="{6589932B-8C92-4D3B-80DA-28B0DD341536}" name="Campaign_Name" dataDxfId="24"/>
    <tableColumn id="2" xr3:uid="{DCE4881F-B630-4781-B402-249A83834A61}" name="Start_Date" dataDxfId="23"/>
    <tableColumn id="3" xr3:uid="{2F3E78C8-F4E7-49DB-B87A-56CFCA35C968}" name="End_Date" dataDxfId="22"/>
    <tableColumn id="4" xr3:uid="{4BF47952-9B6B-4857-A00B-0D8BCCB12737}" name="Objective" dataDxfId="21"/>
    <tableColumn id="5" xr3:uid="{1BC5345A-9980-4CD6-B592-B2BA10DEC14E}" name="Total_Budget" dataDxfId="20"/>
    <tableColumn id="6" xr3:uid="{BD23F5C2-3677-4480-8D65-BB4DC58218AB}" name="Target_Platforms" dataDxfId="19"/>
    <tableColumn id="7" xr3:uid="{17EF87DA-3261-4C0C-A13B-1E6CBBA3C2A8}" name="Primary_Hashtags" dataDxfId="1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1.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table" Target="../tables/table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3AA9-5ECC-4ECE-91F3-819EAE9CB509}">
  <dimension ref="A1:V44"/>
  <sheetViews>
    <sheetView tabSelected="1" workbookViewId="0">
      <selection activeCell="B5" sqref="B5"/>
    </sheetView>
  </sheetViews>
  <sheetFormatPr defaultRowHeight="14.4" x14ac:dyDescent="0.3"/>
  <cols>
    <col min="1" max="1" width="12.5546875" bestFit="1" customWidth="1"/>
    <col min="2" max="2" width="14.44140625" customWidth="1"/>
    <col min="3" max="3" width="11.88671875" bestFit="1" customWidth="1"/>
    <col min="4" max="5" width="15.5546875" bestFit="1" customWidth="1"/>
    <col min="6" max="6" width="20.21875" bestFit="1" customWidth="1"/>
    <col min="7" max="7" width="19.88671875" bestFit="1" customWidth="1"/>
    <col min="8" max="291" width="15.5546875" bestFit="1" customWidth="1"/>
    <col min="292" max="293" width="10.77734375" bestFit="1" customWidth="1"/>
    <col min="294" max="298" width="15.5546875" bestFit="1" customWidth="1"/>
    <col min="299" max="299" width="10.77734375" bestFit="1" customWidth="1"/>
  </cols>
  <sheetData>
    <row r="1" spans="1:22" ht="22.8" x14ac:dyDescent="0.45">
      <c r="A1" s="26" t="s">
        <v>3</v>
      </c>
      <c r="B1" t="s">
        <v>603</v>
      </c>
      <c r="E1" s="38"/>
      <c r="G1" s="37" t="s">
        <v>604</v>
      </c>
    </row>
    <row r="2" spans="1:22" ht="28.8" x14ac:dyDescent="0.3">
      <c r="A2" s="37" t="s">
        <v>609</v>
      </c>
      <c r="G2" s="44" t="s">
        <v>0</v>
      </c>
      <c r="H2" s="45" t="s">
        <v>1</v>
      </c>
      <c r="I2" s="46" t="s">
        <v>2</v>
      </c>
      <c r="J2" s="45" t="s">
        <v>3</v>
      </c>
      <c r="K2" s="47" t="s">
        <v>4</v>
      </c>
      <c r="L2" s="48" t="s">
        <v>5</v>
      </c>
      <c r="M2" s="48" t="s">
        <v>6</v>
      </c>
      <c r="N2" s="49" t="s">
        <v>7</v>
      </c>
      <c r="O2" s="50" t="s">
        <v>598</v>
      </c>
      <c r="P2" s="51" t="s">
        <v>582</v>
      </c>
      <c r="R2" s="34"/>
      <c r="S2" s="34"/>
      <c r="T2" s="34"/>
      <c r="U2" s="35"/>
      <c r="V2" s="34"/>
    </row>
    <row r="3" spans="1:22" x14ac:dyDescent="0.3">
      <c r="A3" s="26" t="s">
        <v>599</v>
      </c>
      <c r="B3" t="s">
        <v>601</v>
      </c>
      <c r="E3" s="30"/>
      <c r="F3" s="30"/>
      <c r="G3" s="52" t="s">
        <v>176</v>
      </c>
      <c r="H3" s="52" t="s">
        <v>14</v>
      </c>
      <c r="I3" s="53">
        <v>45540</v>
      </c>
      <c r="J3" s="52" t="s">
        <v>74</v>
      </c>
      <c r="K3" s="54" t="s">
        <v>145</v>
      </c>
      <c r="L3" s="55">
        <v>4886</v>
      </c>
      <c r="M3" s="55">
        <v>983</v>
      </c>
      <c r="N3" s="55">
        <v>409</v>
      </c>
      <c r="O3" s="56">
        <v>0.14000000000000001</v>
      </c>
      <c r="P3" s="55">
        <v>6278</v>
      </c>
      <c r="Q3" s="30"/>
      <c r="R3" s="31"/>
      <c r="S3" s="31"/>
      <c r="T3" s="31"/>
      <c r="U3" s="33"/>
      <c r="V3" s="32"/>
    </row>
    <row r="4" spans="1:22" x14ac:dyDescent="0.3">
      <c r="A4" s="27" t="s">
        <v>43</v>
      </c>
      <c r="B4" s="28">
        <v>0.12197289956132547</v>
      </c>
      <c r="E4" s="30"/>
      <c r="F4" s="30"/>
      <c r="G4" s="52" t="s">
        <v>319</v>
      </c>
      <c r="H4" s="52" t="s">
        <v>27</v>
      </c>
      <c r="I4" s="53">
        <v>45593</v>
      </c>
      <c r="J4" s="52" t="s">
        <v>35</v>
      </c>
      <c r="K4" s="54" t="s">
        <v>154</v>
      </c>
      <c r="L4" s="55">
        <v>4929</v>
      </c>
      <c r="M4" s="55">
        <v>749</v>
      </c>
      <c r="N4" s="55">
        <v>452</v>
      </c>
      <c r="O4" s="56">
        <v>7.0000000000000007E-2</v>
      </c>
      <c r="P4" s="55">
        <v>6130</v>
      </c>
      <c r="Q4" s="30"/>
      <c r="R4" s="31"/>
      <c r="S4" s="31"/>
      <c r="T4" s="31"/>
      <c r="U4" s="33"/>
      <c r="V4" s="32"/>
    </row>
    <row r="5" spans="1:22" x14ac:dyDescent="0.3">
      <c r="A5" s="27" t="s">
        <v>33</v>
      </c>
      <c r="B5" s="28">
        <v>0.19329257693923488</v>
      </c>
      <c r="E5" s="30"/>
      <c r="F5" s="30"/>
      <c r="G5" s="52" t="s">
        <v>353</v>
      </c>
      <c r="H5" s="52" t="s">
        <v>27</v>
      </c>
      <c r="I5" s="53">
        <v>45715</v>
      </c>
      <c r="J5" s="52" t="s">
        <v>22</v>
      </c>
      <c r="K5" s="54" t="s">
        <v>104</v>
      </c>
      <c r="L5" s="55">
        <v>4934</v>
      </c>
      <c r="M5" s="55">
        <v>971</v>
      </c>
      <c r="N5" s="55">
        <v>156</v>
      </c>
      <c r="O5" s="56">
        <v>0.15</v>
      </c>
      <c r="P5" s="55">
        <v>6061</v>
      </c>
      <c r="Q5" s="30"/>
      <c r="R5" s="31"/>
      <c r="S5" s="31"/>
      <c r="T5" s="31"/>
      <c r="U5" s="33"/>
      <c r="V5" s="32"/>
    </row>
    <row r="6" spans="1:22" x14ac:dyDescent="0.3">
      <c r="A6" s="27" t="s">
        <v>14</v>
      </c>
      <c r="B6" s="28">
        <v>0.14432835847836206</v>
      </c>
      <c r="E6" s="30"/>
      <c r="F6" s="30"/>
      <c r="G6" s="52" t="s">
        <v>504</v>
      </c>
      <c r="H6" s="52" t="s">
        <v>33</v>
      </c>
      <c r="I6" s="53">
        <v>45592</v>
      </c>
      <c r="J6" s="52" t="s">
        <v>52</v>
      </c>
      <c r="K6" s="54" t="s">
        <v>215</v>
      </c>
      <c r="L6" s="55">
        <v>4853</v>
      </c>
      <c r="M6" s="55">
        <v>837</v>
      </c>
      <c r="N6" s="55">
        <v>340</v>
      </c>
      <c r="O6" s="56">
        <v>0.08</v>
      </c>
      <c r="P6" s="55">
        <v>6030</v>
      </c>
      <c r="Q6" s="30"/>
      <c r="R6" s="31"/>
      <c r="S6" s="31"/>
      <c r="T6" s="31"/>
      <c r="U6" s="33"/>
      <c r="V6" s="32"/>
    </row>
    <row r="7" spans="1:22" x14ac:dyDescent="0.3">
      <c r="A7" s="27" t="s">
        <v>27</v>
      </c>
      <c r="B7" s="28">
        <v>0.13118493770753806</v>
      </c>
      <c r="E7" s="30"/>
      <c r="F7" s="30"/>
      <c r="G7" s="52" t="s">
        <v>475</v>
      </c>
      <c r="H7" s="52" t="s">
        <v>27</v>
      </c>
      <c r="I7" s="53">
        <v>45590</v>
      </c>
      <c r="J7" s="52" t="s">
        <v>74</v>
      </c>
      <c r="K7" s="54" t="s">
        <v>219</v>
      </c>
      <c r="L7" s="55">
        <v>4661</v>
      </c>
      <c r="M7" s="55">
        <v>935</v>
      </c>
      <c r="N7" s="55">
        <v>433</v>
      </c>
      <c r="O7" s="56">
        <v>0.26</v>
      </c>
      <c r="P7" s="55">
        <v>6029</v>
      </c>
      <c r="Q7" s="30"/>
      <c r="R7" s="31"/>
      <c r="S7" s="31"/>
      <c r="T7" s="31"/>
      <c r="U7" s="33"/>
      <c r="V7" s="32"/>
    </row>
    <row r="8" spans="1:22" x14ac:dyDescent="0.3">
      <c r="E8" s="30"/>
      <c r="F8" s="30"/>
      <c r="G8" s="52" t="s">
        <v>433</v>
      </c>
      <c r="H8" s="52" t="s">
        <v>43</v>
      </c>
      <c r="I8" s="53">
        <v>45783</v>
      </c>
      <c r="J8" s="52" t="s">
        <v>52</v>
      </c>
      <c r="K8" s="54" t="s">
        <v>59</v>
      </c>
      <c r="L8" s="55">
        <v>4872</v>
      </c>
      <c r="M8" s="55">
        <v>925</v>
      </c>
      <c r="N8" s="55">
        <v>176</v>
      </c>
      <c r="O8" s="56">
        <v>7.0000000000000007E-2</v>
      </c>
      <c r="P8" s="55">
        <v>5973</v>
      </c>
      <c r="Q8" s="30"/>
      <c r="R8" s="31"/>
      <c r="S8" s="31"/>
      <c r="T8" s="31"/>
      <c r="U8" s="33"/>
      <c r="V8" s="32"/>
    </row>
    <row r="9" spans="1:22" ht="16.2" x14ac:dyDescent="0.3">
      <c r="A9" s="37" t="s">
        <v>608</v>
      </c>
      <c r="E9" s="30"/>
      <c r="F9" s="30"/>
      <c r="G9" s="52" t="s">
        <v>258</v>
      </c>
      <c r="H9" s="52" t="s">
        <v>33</v>
      </c>
      <c r="I9" s="53">
        <v>45692</v>
      </c>
      <c r="J9" s="52" t="s">
        <v>52</v>
      </c>
      <c r="K9" s="54" t="s">
        <v>215</v>
      </c>
      <c r="L9" s="55">
        <v>4619</v>
      </c>
      <c r="M9" s="55">
        <v>821</v>
      </c>
      <c r="N9" s="55">
        <v>499</v>
      </c>
      <c r="O9" s="56">
        <v>0.09</v>
      </c>
      <c r="P9" s="55">
        <v>5939</v>
      </c>
      <c r="Q9" s="30"/>
      <c r="R9" s="31"/>
      <c r="S9" s="31"/>
      <c r="T9" s="31"/>
      <c r="U9" s="33"/>
      <c r="V9" s="32"/>
    </row>
    <row r="10" spans="1:22" x14ac:dyDescent="0.3">
      <c r="A10" s="26" t="s">
        <v>599</v>
      </c>
      <c r="B10" t="s">
        <v>615</v>
      </c>
      <c r="C10" t="s">
        <v>616</v>
      </c>
      <c r="D10" t="s">
        <v>617</v>
      </c>
    </row>
    <row r="11" spans="1:22" x14ac:dyDescent="0.3">
      <c r="A11" s="27" t="s">
        <v>43</v>
      </c>
      <c r="B11" s="15">
        <v>242761</v>
      </c>
      <c r="C11" s="15">
        <v>39181</v>
      </c>
      <c r="D11" s="15">
        <v>23300</v>
      </c>
    </row>
    <row r="12" spans="1:22" ht="16.2" x14ac:dyDescent="0.3">
      <c r="A12" s="36" t="s">
        <v>45</v>
      </c>
      <c r="B12" s="15">
        <v>44476</v>
      </c>
      <c r="C12" s="15">
        <v>7400</v>
      </c>
      <c r="D12" s="15">
        <v>4589</v>
      </c>
      <c r="F12" s="37" t="s">
        <v>610</v>
      </c>
    </row>
    <row r="13" spans="1:22" x14ac:dyDescent="0.3">
      <c r="A13" s="36" t="s">
        <v>52</v>
      </c>
      <c r="B13" s="15">
        <v>71602</v>
      </c>
      <c r="C13" s="15">
        <v>12904</v>
      </c>
      <c r="D13" s="15">
        <v>6495</v>
      </c>
      <c r="F13" s="26" t="s">
        <v>599</v>
      </c>
      <c r="G13" t="s">
        <v>614</v>
      </c>
    </row>
    <row r="14" spans="1:22" x14ac:dyDescent="0.3">
      <c r="A14" s="36" t="s">
        <v>16</v>
      </c>
      <c r="B14" s="15">
        <v>36368</v>
      </c>
      <c r="C14" s="15">
        <v>5964</v>
      </c>
      <c r="D14" s="15">
        <v>3353</v>
      </c>
      <c r="F14" s="27" t="s">
        <v>593</v>
      </c>
      <c r="G14" s="9">
        <v>2418</v>
      </c>
    </row>
    <row r="15" spans="1:22" x14ac:dyDescent="0.3">
      <c r="A15" s="36" t="s">
        <v>35</v>
      </c>
      <c r="B15" s="15">
        <v>29405</v>
      </c>
      <c r="C15" s="15">
        <v>4950</v>
      </c>
      <c r="D15" s="15">
        <v>3223</v>
      </c>
      <c r="F15" s="27" t="s">
        <v>594</v>
      </c>
      <c r="G15" s="9">
        <v>804</v>
      </c>
    </row>
    <row r="16" spans="1:22" x14ac:dyDescent="0.3">
      <c r="A16" s="36" t="s">
        <v>22</v>
      </c>
      <c r="B16" s="15">
        <v>31963</v>
      </c>
      <c r="C16" s="15">
        <v>4792</v>
      </c>
      <c r="D16" s="15">
        <v>3377</v>
      </c>
      <c r="F16" s="27" t="s">
        <v>62</v>
      </c>
      <c r="G16" s="9">
        <v>14717</v>
      </c>
    </row>
    <row r="17" spans="1:7" x14ac:dyDescent="0.3">
      <c r="A17" s="36" t="s">
        <v>74</v>
      </c>
      <c r="B17" s="15">
        <v>28947</v>
      </c>
      <c r="C17" s="15">
        <v>3171</v>
      </c>
      <c r="D17" s="15">
        <v>2263</v>
      </c>
      <c r="F17" s="27" t="s">
        <v>30</v>
      </c>
      <c r="G17" s="9">
        <v>16976</v>
      </c>
    </row>
    <row r="18" spans="1:7" x14ac:dyDescent="0.3">
      <c r="A18" s="27" t="s">
        <v>33</v>
      </c>
      <c r="B18" s="15">
        <v>204284</v>
      </c>
      <c r="C18" s="15">
        <v>41444</v>
      </c>
      <c r="D18" s="15">
        <v>17851</v>
      </c>
      <c r="F18" s="27" t="s">
        <v>588</v>
      </c>
      <c r="G18" s="9">
        <v>559</v>
      </c>
    </row>
    <row r="19" spans="1:7" x14ac:dyDescent="0.3">
      <c r="A19" s="36" t="s">
        <v>45</v>
      </c>
      <c r="B19" s="15">
        <v>43948</v>
      </c>
      <c r="C19" s="15">
        <v>6975</v>
      </c>
      <c r="D19" s="15">
        <v>3890</v>
      </c>
      <c r="F19" s="27" t="s">
        <v>37</v>
      </c>
      <c r="G19" s="9">
        <v>15456</v>
      </c>
    </row>
    <row r="20" spans="1:7" x14ac:dyDescent="0.3">
      <c r="A20" s="36" t="s">
        <v>52</v>
      </c>
      <c r="B20" s="15">
        <v>34202</v>
      </c>
      <c r="C20" s="15">
        <v>5286</v>
      </c>
      <c r="D20" s="15">
        <v>2655</v>
      </c>
    </row>
    <row r="21" spans="1:7" x14ac:dyDescent="0.3">
      <c r="A21" s="36" t="s">
        <v>16</v>
      </c>
      <c r="B21" s="15">
        <v>32148</v>
      </c>
      <c r="C21" s="15">
        <v>8110</v>
      </c>
      <c r="D21" s="15">
        <v>3386</v>
      </c>
    </row>
    <row r="22" spans="1:7" x14ac:dyDescent="0.3">
      <c r="A22" s="36" t="s">
        <v>35</v>
      </c>
      <c r="B22" s="15">
        <v>42649</v>
      </c>
      <c r="C22" s="15">
        <v>10049</v>
      </c>
      <c r="D22" s="15">
        <v>3846</v>
      </c>
    </row>
    <row r="23" spans="1:7" x14ac:dyDescent="0.3">
      <c r="A23" s="36" t="s">
        <v>22</v>
      </c>
      <c r="B23" s="15">
        <v>25567</v>
      </c>
      <c r="C23" s="15">
        <v>5112</v>
      </c>
      <c r="D23" s="15">
        <v>1946</v>
      </c>
    </row>
    <row r="24" spans="1:7" x14ac:dyDescent="0.3">
      <c r="A24" s="36" t="s">
        <v>74</v>
      </c>
      <c r="B24" s="15">
        <v>25770</v>
      </c>
      <c r="C24" s="15">
        <v>5912</v>
      </c>
      <c r="D24" s="15">
        <v>2128</v>
      </c>
    </row>
    <row r="25" spans="1:7" x14ac:dyDescent="0.3">
      <c r="A25" s="27" t="s">
        <v>14</v>
      </c>
      <c r="B25" s="15">
        <v>196730</v>
      </c>
      <c r="C25" s="15">
        <v>32851</v>
      </c>
      <c r="D25" s="15">
        <v>20103</v>
      </c>
    </row>
    <row r="26" spans="1:7" x14ac:dyDescent="0.3">
      <c r="A26" s="36" t="s">
        <v>45</v>
      </c>
      <c r="B26" s="15">
        <v>48649</v>
      </c>
      <c r="C26" s="15">
        <v>5791</v>
      </c>
      <c r="D26" s="15">
        <v>3607</v>
      </c>
    </row>
    <row r="27" spans="1:7" x14ac:dyDescent="0.3">
      <c r="A27" s="36" t="s">
        <v>52</v>
      </c>
      <c r="B27" s="15">
        <v>40669</v>
      </c>
      <c r="C27" s="15">
        <v>7004</v>
      </c>
      <c r="D27" s="15">
        <v>4834</v>
      </c>
    </row>
    <row r="28" spans="1:7" x14ac:dyDescent="0.3">
      <c r="A28" s="36" t="s">
        <v>16</v>
      </c>
      <c r="B28" s="15">
        <v>27029</v>
      </c>
      <c r="C28" s="15">
        <v>4550</v>
      </c>
      <c r="D28" s="15">
        <v>1913</v>
      </c>
    </row>
    <row r="29" spans="1:7" x14ac:dyDescent="0.3">
      <c r="A29" s="36" t="s">
        <v>35</v>
      </c>
      <c r="B29" s="15">
        <v>18891</v>
      </c>
      <c r="C29" s="15">
        <v>4319</v>
      </c>
      <c r="D29" s="15">
        <v>2540</v>
      </c>
    </row>
    <row r="30" spans="1:7" x14ac:dyDescent="0.3">
      <c r="A30" s="36" t="s">
        <v>22</v>
      </c>
      <c r="B30" s="15">
        <v>31899</v>
      </c>
      <c r="C30" s="15">
        <v>4861</v>
      </c>
      <c r="D30" s="15">
        <v>3910</v>
      </c>
    </row>
    <row r="31" spans="1:7" x14ac:dyDescent="0.3">
      <c r="A31" s="36" t="s">
        <v>74</v>
      </c>
      <c r="B31" s="15">
        <v>29593</v>
      </c>
      <c r="C31" s="15">
        <v>6326</v>
      </c>
      <c r="D31" s="15">
        <v>3299</v>
      </c>
    </row>
    <row r="32" spans="1:7" x14ac:dyDescent="0.3">
      <c r="A32" s="27" t="s">
        <v>27</v>
      </c>
      <c r="B32" s="15">
        <v>171549</v>
      </c>
      <c r="C32" s="15">
        <v>28572</v>
      </c>
      <c r="D32" s="15">
        <v>12820</v>
      </c>
    </row>
    <row r="33" spans="1:4" x14ac:dyDescent="0.3">
      <c r="A33" s="36" t="s">
        <v>45</v>
      </c>
      <c r="B33" s="15">
        <v>24926</v>
      </c>
      <c r="C33" s="15">
        <v>6305</v>
      </c>
      <c r="D33" s="15">
        <v>2422</v>
      </c>
    </row>
    <row r="34" spans="1:4" x14ac:dyDescent="0.3">
      <c r="A34" s="36" t="s">
        <v>52</v>
      </c>
      <c r="B34" s="15">
        <v>23903</v>
      </c>
      <c r="C34" s="15">
        <v>4310</v>
      </c>
      <c r="D34" s="15">
        <v>2077</v>
      </c>
    </row>
    <row r="35" spans="1:4" x14ac:dyDescent="0.3">
      <c r="A35" s="36" t="s">
        <v>16</v>
      </c>
      <c r="B35" s="15">
        <v>32400</v>
      </c>
      <c r="C35" s="15">
        <v>4577</v>
      </c>
      <c r="D35" s="15">
        <v>2668</v>
      </c>
    </row>
    <row r="36" spans="1:4" x14ac:dyDescent="0.3">
      <c r="A36" s="36" t="s">
        <v>35</v>
      </c>
      <c r="B36" s="15">
        <v>31968</v>
      </c>
      <c r="C36" s="15">
        <v>3866</v>
      </c>
      <c r="D36" s="15">
        <v>2012</v>
      </c>
    </row>
    <row r="37" spans="1:4" x14ac:dyDescent="0.3">
      <c r="A37" s="36" t="s">
        <v>22</v>
      </c>
      <c r="B37" s="15">
        <v>27067</v>
      </c>
      <c r="C37" s="15">
        <v>3928</v>
      </c>
      <c r="D37" s="15">
        <v>1052</v>
      </c>
    </row>
    <row r="38" spans="1:4" x14ac:dyDescent="0.3">
      <c r="A38" s="36" t="s">
        <v>74</v>
      </c>
      <c r="B38" s="15">
        <v>31285</v>
      </c>
      <c r="C38" s="15">
        <v>5586</v>
      </c>
      <c r="D38" s="15">
        <v>2589</v>
      </c>
    </row>
    <row r="39" spans="1:4" x14ac:dyDescent="0.3">
      <c r="A39" s="27" t="s">
        <v>600</v>
      </c>
      <c r="B39" s="15">
        <v>815324</v>
      </c>
      <c r="C39" s="15">
        <v>142048</v>
      </c>
      <c r="D39" s="15">
        <v>74074</v>
      </c>
    </row>
    <row r="42" spans="1:4" ht="15" x14ac:dyDescent="0.3">
      <c r="A42" s="29" t="s">
        <v>684</v>
      </c>
    </row>
    <row r="43" spans="1:4" ht="15" x14ac:dyDescent="0.3">
      <c r="A43" s="29" t="s">
        <v>685</v>
      </c>
    </row>
    <row r="44" spans="1:4" ht="15" x14ac:dyDescent="0.3">
      <c r="A44" s="29" t="s">
        <v>686</v>
      </c>
    </row>
  </sheetData>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F885-BAB4-4E29-8C2D-D026301A697A}">
  <dimension ref="A1:Q52"/>
  <sheetViews>
    <sheetView topLeftCell="A9" zoomScale="85" zoomScaleNormal="85" workbookViewId="0">
      <selection activeCell="O31" sqref="O31"/>
    </sheetView>
  </sheetViews>
  <sheetFormatPr defaultRowHeight="14.4" x14ac:dyDescent="0.3"/>
  <cols>
    <col min="1" max="1" width="12.5546875" bestFit="1" customWidth="1"/>
    <col min="2" max="2" width="25.77734375" customWidth="1"/>
    <col min="3" max="3" width="26.33203125" bestFit="1" customWidth="1"/>
    <col min="4" max="4" width="16.6640625" bestFit="1" customWidth="1"/>
    <col min="5" max="5" width="12" bestFit="1" customWidth="1"/>
    <col min="6" max="6" width="10.77734375" bestFit="1" customWidth="1"/>
    <col min="7" max="12" width="6" bestFit="1" customWidth="1"/>
    <col min="13" max="13" width="12.5546875" bestFit="1" customWidth="1"/>
    <col min="14" max="14" width="11.5546875" bestFit="1" customWidth="1"/>
    <col min="15" max="15" width="13.109375" bestFit="1" customWidth="1"/>
    <col min="16" max="16" width="16.6640625" bestFit="1" customWidth="1"/>
    <col min="17" max="17" width="33.33203125" customWidth="1"/>
    <col min="18" max="18" width="40.44140625" bestFit="1" customWidth="1"/>
    <col min="19" max="41" width="6" bestFit="1" customWidth="1"/>
    <col min="42" max="201" width="7" bestFit="1" customWidth="1"/>
    <col min="202" max="202" width="10.77734375" bestFit="1" customWidth="1"/>
  </cols>
  <sheetData>
    <row r="1" spans="1:17" ht="19.8" x14ac:dyDescent="0.4">
      <c r="A1" s="61" t="s">
        <v>624</v>
      </c>
    </row>
    <row r="2" spans="1:17" x14ac:dyDescent="0.3">
      <c r="A2" s="26" t="s">
        <v>599</v>
      </c>
      <c r="B2" t="s">
        <v>621</v>
      </c>
      <c r="M2" s="26" t="s">
        <v>599</v>
      </c>
      <c r="N2" t="s">
        <v>606</v>
      </c>
      <c r="O2" t="s">
        <v>605</v>
      </c>
      <c r="P2" t="s">
        <v>607</v>
      </c>
      <c r="Q2" t="s">
        <v>635</v>
      </c>
    </row>
    <row r="3" spans="1:17" x14ac:dyDescent="0.3">
      <c r="A3" s="27" t="s">
        <v>43</v>
      </c>
      <c r="B3" s="9">
        <v>5.6486000000000001</v>
      </c>
      <c r="F3" s="18"/>
      <c r="M3" s="27" t="s">
        <v>43</v>
      </c>
      <c r="N3" s="15">
        <v>242761</v>
      </c>
      <c r="O3" s="15">
        <v>39181</v>
      </c>
      <c r="P3" s="15">
        <v>23300</v>
      </c>
      <c r="Q3" s="15">
        <v>305242</v>
      </c>
    </row>
    <row r="4" spans="1:17" x14ac:dyDescent="0.3">
      <c r="A4" s="27" t="s">
        <v>33</v>
      </c>
      <c r="B4" s="9">
        <v>5.7156000000000002</v>
      </c>
      <c r="M4" s="27" t="s">
        <v>33</v>
      </c>
      <c r="N4" s="15">
        <v>204284</v>
      </c>
      <c r="O4" s="15">
        <v>41444</v>
      </c>
      <c r="P4" s="15">
        <v>17851</v>
      </c>
      <c r="Q4" s="15">
        <v>263579</v>
      </c>
    </row>
    <row r="5" spans="1:17" x14ac:dyDescent="0.3">
      <c r="A5" s="27" t="s">
        <v>14</v>
      </c>
      <c r="B5" s="9">
        <v>5.6558000000000002</v>
      </c>
      <c r="M5" s="27" t="s">
        <v>14</v>
      </c>
      <c r="N5" s="15">
        <v>196730</v>
      </c>
      <c r="O5" s="15">
        <v>32851</v>
      </c>
      <c r="P5" s="15">
        <v>20103</v>
      </c>
      <c r="Q5" s="15">
        <v>249684</v>
      </c>
    </row>
    <row r="6" spans="1:17" x14ac:dyDescent="0.3">
      <c r="A6" s="27" t="s">
        <v>27</v>
      </c>
      <c r="B6" s="9">
        <v>5.5587999999999997</v>
      </c>
      <c r="M6" s="27" t="s">
        <v>27</v>
      </c>
      <c r="N6" s="15">
        <v>171549</v>
      </c>
      <c r="O6" s="15">
        <v>28572</v>
      </c>
      <c r="P6" s="15">
        <v>12820</v>
      </c>
      <c r="Q6" s="15">
        <v>212941</v>
      </c>
    </row>
    <row r="8" spans="1:17" ht="16.2" x14ac:dyDescent="0.3">
      <c r="A8" s="59" t="s">
        <v>622</v>
      </c>
      <c r="M8" s="60" t="s">
        <v>636</v>
      </c>
    </row>
    <row r="11" spans="1:17" ht="19.8" x14ac:dyDescent="0.4">
      <c r="A11" s="61" t="s">
        <v>625</v>
      </c>
    </row>
    <row r="12" spans="1:17" x14ac:dyDescent="0.3">
      <c r="A12" s="26" t="s">
        <v>599</v>
      </c>
      <c r="B12" t="s">
        <v>619</v>
      </c>
    </row>
    <row r="13" spans="1:17" x14ac:dyDescent="0.3">
      <c r="A13" s="27" t="s">
        <v>43</v>
      </c>
      <c r="B13" s="9">
        <v>50862</v>
      </c>
    </row>
    <row r="14" spans="1:17" x14ac:dyDescent="0.3">
      <c r="A14" s="27" t="s">
        <v>33</v>
      </c>
      <c r="B14" s="9">
        <v>58311</v>
      </c>
    </row>
    <row r="15" spans="1:17" x14ac:dyDescent="0.3">
      <c r="A15" s="27" t="s">
        <v>14</v>
      </c>
      <c r="B15" s="9">
        <v>53484</v>
      </c>
    </row>
    <row r="16" spans="1:17" x14ac:dyDescent="0.3">
      <c r="A16" s="27" t="s">
        <v>27</v>
      </c>
      <c r="B16" s="9">
        <v>47471</v>
      </c>
    </row>
    <row r="28" spans="1:3" ht="19.8" x14ac:dyDescent="0.4">
      <c r="A28" s="61" t="s">
        <v>626</v>
      </c>
    </row>
    <row r="29" spans="1:3" x14ac:dyDescent="0.3">
      <c r="A29" s="26" t="s">
        <v>599</v>
      </c>
      <c r="B29" t="s">
        <v>620</v>
      </c>
      <c r="C29" t="s">
        <v>621</v>
      </c>
    </row>
    <row r="30" spans="1:3" x14ac:dyDescent="0.3">
      <c r="A30" s="27" t="s">
        <v>43</v>
      </c>
      <c r="B30" s="9">
        <v>1379539</v>
      </c>
      <c r="C30" s="9">
        <v>5.6486000000000001</v>
      </c>
    </row>
    <row r="31" spans="1:3" x14ac:dyDescent="0.3">
      <c r="A31" s="27" t="s">
        <v>33</v>
      </c>
      <c r="B31" s="9">
        <v>1164373</v>
      </c>
      <c r="C31" s="9">
        <v>5.7156000000000002</v>
      </c>
    </row>
    <row r="32" spans="1:3" x14ac:dyDescent="0.3">
      <c r="A32" s="27" t="s">
        <v>14</v>
      </c>
      <c r="B32" s="9">
        <v>1060357</v>
      </c>
      <c r="C32" s="9">
        <v>5.6558000000000002</v>
      </c>
    </row>
    <row r="33" spans="1:3" x14ac:dyDescent="0.3">
      <c r="A33" s="27" t="s">
        <v>27</v>
      </c>
      <c r="B33" s="9">
        <v>1228647</v>
      </c>
      <c r="C33" s="9">
        <v>5.5587999999999997</v>
      </c>
    </row>
    <row r="36" spans="1:3" ht="15" x14ac:dyDescent="0.3">
      <c r="A36" s="60" t="s">
        <v>630</v>
      </c>
    </row>
    <row r="45" spans="1:3" ht="19.8" x14ac:dyDescent="0.4">
      <c r="A45" s="61" t="s">
        <v>627</v>
      </c>
    </row>
    <row r="46" spans="1:3" x14ac:dyDescent="0.3">
      <c r="A46" s="42" t="s">
        <v>623</v>
      </c>
      <c r="B46" s="42"/>
    </row>
    <row r="47" spans="1:3" x14ac:dyDescent="0.3">
      <c r="A47" s="42" t="s">
        <v>628</v>
      </c>
    </row>
    <row r="48" spans="1:3" x14ac:dyDescent="0.3">
      <c r="A48" s="42" t="s">
        <v>629</v>
      </c>
    </row>
    <row r="49" spans="1:1" x14ac:dyDescent="0.3">
      <c r="A49" s="42" t="s">
        <v>631</v>
      </c>
    </row>
    <row r="50" spans="1:1" x14ac:dyDescent="0.3">
      <c r="A50" s="42" t="s">
        <v>632</v>
      </c>
    </row>
    <row r="51" spans="1:1" x14ac:dyDescent="0.3">
      <c r="A51" s="42" t="s">
        <v>633</v>
      </c>
    </row>
    <row r="52" spans="1:1" x14ac:dyDescent="0.3">
      <c r="A52" s="42" t="s">
        <v>634</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1A353-6669-48CE-BAAE-8B8B1A9E5DC9}">
  <dimension ref="A1:D82"/>
  <sheetViews>
    <sheetView topLeftCell="A65" workbookViewId="0">
      <selection activeCell="B82" sqref="B82"/>
    </sheetView>
  </sheetViews>
  <sheetFormatPr defaultRowHeight="14.4" x14ac:dyDescent="0.3"/>
  <cols>
    <col min="1" max="1" width="13.109375" bestFit="1" customWidth="1"/>
    <col min="2" max="2" width="21.77734375" bestFit="1" customWidth="1"/>
    <col min="3" max="4" width="19.88671875" bestFit="1" customWidth="1"/>
    <col min="5" max="5" width="21.77734375" bestFit="1" customWidth="1"/>
  </cols>
  <sheetData>
    <row r="1" spans="1:4" ht="19.8" x14ac:dyDescent="0.4">
      <c r="A1" s="61" t="s">
        <v>637</v>
      </c>
    </row>
    <row r="3" spans="1:4" x14ac:dyDescent="0.3">
      <c r="A3" s="26" t="s">
        <v>599</v>
      </c>
      <c r="B3" t="s">
        <v>638</v>
      </c>
    </row>
    <row r="4" spans="1:4" x14ac:dyDescent="0.3">
      <c r="A4" s="27" t="s">
        <v>30</v>
      </c>
      <c r="B4" s="9">
        <v>107</v>
      </c>
    </row>
    <row r="5" spans="1:4" x14ac:dyDescent="0.3">
      <c r="A5" s="27" t="s">
        <v>37</v>
      </c>
      <c r="B5" s="9">
        <v>102</v>
      </c>
    </row>
    <row r="6" spans="1:4" x14ac:dyDescent="0.3">
      <c r="A6" s="27" t="s">
        <v>62</v>
      </c>
      <c r="B6" s="9">
        <v>101</v>
      </c>
    </row>
    <row r="7" spans="1:4" x14ac:dyDescent="0.3">
      <c r="A7" s="27" t="s">
        <v>593</v>
      </c>
      <c r="B7" s="9">
        <v>15</v>
      </c>
    </row>
    <row r="8" spans="1:4" x14ac:dyDescent="0.3">
      <c r="A8" s="27" t="s">
        <v>594</v>
      </c>
      <c r="B8" s="9">
        <v>7</v>
      </c>
    </row>
    <row r="9" spans="1:4" x14ac:dyDescent="0.3">
      <c r="A9" s="27" t="s">
        <v>588</v>
      </c>
      <c r="B9" s="9">
        <v>5</v>
      </c>
    </row>
    <row r="11" spans="1:4" ht="15.6" x14ac:dyDescent="0.3">
      <c r="A11" s="67" t="s">
        <v>639</v>
      </c>
    </row>
    <row r="13" spans="1:4" ht="19.8" x14ac:dyDescent="0.4">
      <c r="A13" s="61" t="s">
        <v>645</v>
      </c>
    </row>
    <row r="15" spans="1:4" x14ac:dyDescent="0.3">
      <c r="A15" s="26" t="s">
        <v>599</v>
      </c>
      <c r="B15" t="s">
        <v>640</v>
      </c>
      <c r="C15" t="s">
        <v>641</v>
      </c>
      <c r="D15" t="s">
        <v>644</v>
      </c>
    </row>
    <row r="16" spans="1:4" x14ac:dyDescent="0.3">
      <c r="A16" s="27" t="s">
        <v>593</v>
      </c>
      <c r="B16" s="9">
        <v>2219.6</v>
      </c>
      <c r="C16" s="9">
        <v>257.39999999999998</v>
      </c>
      <c r="D16" s="9">
        <v>2477</v>
      </c>
    </row>
    <row r="17" spans="1:4" x14ac:dyDescent="0.3">
      <c r="A17" s="27" t="s">
        <v>594</v>
      </c>
      <c r="B17" s="9">
        <v>3451.7142857142858</v>
      </c>
      <c r="C17" s="9">
        <v>151</v>
      </c>
      <c r="D17" s="9">
        <v>3602.7142857142858</v>
      </c>
    </row>
    <row r="18" spans="1:4" x14ac:dyDescent="0.3">
      <c r="A18" s="27" t="s">
        <v>62</v>
      </c>
      <c r="B18" s="9">
        <v>2640.6831683168316</v>
      </c>
      <c r="C18" s="9">
        <v>260.00990099009903</v>
      </c>
      <c r="D18" s="9">
        <v>2900.6930693069307</v>
      </c>
    </row>
    <row r="19" spans="1:4" x14ac:dyDescent="0.3">
      <c r="A19" s="27" t="s">
        <v>30</v>
      </c>
      <c r="B19" s="9">
        <v>2705.1028037383176</v>
      </c>
      <c r="C19" s="9">
        <v>254.18691588785046</v>
      </c>
      <c r="D19" s="9">
        <v>2959.2897196261679</v>
      </c>
    </row>
    <row r="20" spans="1:4" x14ac:dyDescent="0.3">
      <c r="A20" s="27" t="s">
        <v>588</v>
      </c>
      <c r="B20" s="9">
        <v>3127.8</v>
      </c>
      <c r="C20" s="9">
        <v>283.39999999999998</v>
      </c>
      <c r="D20" s="9">
        <v>3411.2000000000003</v>
      </c>
    </row>
    <row r="21" spans="1:4" x14ac:dyDescent="0.3">
      <c r="A21" s="27" t="s">
        <v>37</v>
      </c>
      <c r="B21" s="9">
        <v>2838.8039215686276</v>
      </c>
      <c r="C21" s="9">
        <v>230.95098039215685</v>
      </c>
      <c r="D21" s="9">
        <v>3069.7549019607845</v>
      </c>
    </row>
    <row r="24" spans="1:4" ht="19.8" x14ac:dyDescent="0.4">
      <c r="A24" s="61" t="s">
        <v>646</v>
      </c>
    </row>
    <row r="26" spans="1:4" x14ac:dyDescent="0.3">
      <c r="A26" s="26" t="s">
        <v>599</v>
      </c>
      <c r="B26" t="s">
        <v>654</v>
      </c>
    </row>
    <row r="27" spans="1:4" x14ac:dyDescent="0.3">
      <c r="A27" s="27" t="s">
        <v>45</v>
      </c>
      <c r="B27" s="15">
        <v>202978</v>
      </c>
    </row>
    <row r="28" spans="1:4" x14ac:dyDescent="0.3">
      <c r="A28" s="36" t="s">
        <v>43</v>
      </c>
      <c r="B28" s="15">
        <v>56465</v>
      </c>
    </row>
    <row r="29" spans="1:4" x14ac:dyDescent="0.3">
      <c r="A29" s="36" t="s">
        <v>33</v>
      </c>
      <c r="B29" s="15">
        <v>54813</v>
      </c>
    </row>
    <row r="30" spans="1:4" x14ac:dyDescent="0.3">
      <c r="A30" s="36" t="s">
        <v>14</v>
      </c>
      <c r="B30" s="15">
        <v>58047</v>
      </c>
    </row>
    <row r="31" spans="1:4" x14ac:dyDescent="0.3">
      <c r="A31" s="36" t="s">
        <v>27</v>
      </c>
      <c r="B31" s="15">
        <v>33653</v>
      </c>
    </row>
    <row r="32" spans="1:4" x14ac:dyDescent="0.3">
      <c r="A32" s="27" t="s">
        <v>52</v>
      </c>
      <c r="B32" s="15">
        <v>215941</v>
      </c>
    </row>
    <row r="33" spans="1:2" x14ac:dyDescent="0.3">
      <c r="A33" s="36" t="s">
        <v>43</v>
      </c>
      <c r="B33" s="15">
        <v>91001</v>
      </c>
    </row>
    <row r="34" spans="1:2" x14ac:dyDescent="0.3">
      <c r="A34" s="36" t="s">
        <v>33</v>
      </c>
      <c r="B34" s="15">
        <v>42143</v>
      </c>
    </row>
    <row r="35" spans="1:2" x14ac:dyDescent="0.3">
      <c r="A35" s="36" t="s">
        <v>14</v>
      </c>
      <c r="B35" s="15">
        <v>52507</v>
      </c>
    </row>
    <row r="36" spans="1:2" x14ac:dyDescent="0.3">
      <c r="A36" s="36" t="s">
        <v>27</v>
      </c>
      <c r="B36" s="15">
        <v>30290</v>
      </c>
    </row>
    <row r="37" spans="1:2" x14ac:dyDescent="0.3">
      <c r="A37" s="27" t="s">
        <v>74</v>
      </c>
      <c r="B37" s="15">
        <v>146869</v>
      </c>
    </row>
    <row r="38" spans="1:2" x14ac:dyDescent="0.3">
      <c r="A38" s="36" t="s">
        <v>43</v>
      </c>
      <c r="B38" s="15">
        <v>34381</v>
      </c>
    </row>
    <row r="39" spans="1:2" x14ac:dyDescent="0.3">
      <c r="A39" s="36" t="s">
        <v>33</v>
      </c>
      <c r="B39" s="15">
        <v>33810</v>
      </c>
    </row>
    <row r="40" spans="1:2" x14ac:dyDescent="0.3">
      <c r="A40" s="36" t="s">
        <v>14</v>
      </c>
      <c r="B40" s="15">
        <v>39218</v>
      </c>
    </row>
    <row r="41" spans="1:2" x14ac:dyDescent="0.3">
      <c r="A41" s="36" t="s">
        <v>27</v>
      </c>
      <c r="B41" s="15">
        <v>39460</v>
      </c>
    </row>
    <row r="44" spans="1:2" ht="19.8" x14ac:dyDescent="0.4">
      <c r="A44" s="69" t="s">
        <v>647</v>
      </c>
    </row>
    <row r="46" spans="1:2" x14ac:dyDescent="0.3">
      <c r="A46" s="26" t="s">
        <v>599</v>
      </c>
      <c r="B46" t="s">
        <v>648</v>
      </c>
    </row>
    <row r="47" spans="1:2" x14ac:dyDescent="0.3">
      <c r="A47" s="27" t="s">
        <v>43</v>
      </c>
      <c r="B47" s="15">
        <v>305242</v>
      </c>
    </row>
    <row r="48" spans="1:2" x14ac:dyDescent="0.3">
      <c r="A48" s="36" t="s">
        <v>45</v>
      </c>
      <c r="B48" s="15">
        <v>56465</v>
      </c>
    </row>
    <row r="49" spans="1:2" x14ac:dyDescent="0.3">
      <c r="A49" s="36" t="s">
        <v>52</v>
      </c>
      <c r="B49" s="15">
        <v>91001</v>
      </c>
    </row>
    <row r="50" spans="1:2" x14ac:dyDescent="0.3">
      <c r="A50" s="36" t="s">
        <v>16</v>
      </c>
      <c r="B50" s="15">
        <v>45685</v>
      </c>
    </row>
    <row r="51" spans="1:2" x14ac:dyDescent="0.3">
      <c r="A51" s="36" t="s">
        <v>35</v>
      </c>
      <c r="B51" s="15">
        <v>37578</v>
      </c>
    </row>
    <row r="52" spans="1:2" x14ac:dyDescent="0.3">
      <c r="A52" s="36" t="s">
        <v>22</v>
      </c>
      <c r="B52" s="15">
        <v>40132</v>
      </c>
    </row>
    <row r="53" spans="1:2" x14ac:dyDescent="0.3">
      <c r="A53" s="36" t="s">
        <v>74</v>
      </c>
      <c r="B53" s="15">
        <v>34381</v>
      </c>
    </row>
    <row r="54" spans="1:2" x14ac:dyDescent="0.3">
      <c r="A54" s="27" t="s">
        <v>33</v>
      </c>
      <c r="B54" s="15">
        <v>263579</v>
      </c>
    </row>
    <row r="55" spans="1:2" x14ac:dyDescent="0.3">
      <c r="A55" s="36" t="s">
        <v>45</v>
      </c>
      <c r="B55" s="15">
        <v>54813</v>
      </c>
    </row>
    <row r="56" spans="1:2" x14ac:dyDescent="0.3">
      <c r="A56" s="36" t="s">
        <v>52</v>
      </c>
      <c r="B56" s="15">
        <v>42143</v>
      </c>
    </row>
    <row r="57" spans="1:2" x14ac:dyDescent="0.3">
      <c r="A57" s="36" t="s">
        <v>16</v>
      </c>
      <c r="B57" s="15">
        <v>43644</v>
      </c>
    </row>
    <row r="58" spans="1:2" x14ac:dyDescent="0.3">
      <c r="A58" s="36" t="s">
        <v>35</v>
      </c>
      <c r="B58" s="15">
        <v>56544</v>
      </c>
    </row>
    <row r="59" spans="1:2" x14ac:dyDescent="0.3">
      <c r="A59" s="36" t="s">
        <v>22</v>
      </c>
      <c r="B59" s="15">
        <v>32625</v>
      </c>
    </row>
    <row r="60" spans="1:2" x14ac:dyDescent="0.3">
      <c r="A60" s="36" t="s">
        <v>74</v>
      </c>
      <c r="B60" s="15">
        <v>33810</v>
      </c>
    </row>
    <row r="61" spans="1:2" x14ac:dyDescent="0.3">
      <c r="A61" s="27" t="s">
        <v>14</v>
      </c>
      <c r="B61" s="15">
        <v>249684</v>
      </c>
    </row>
    <row r="62" spans="1:2" x14ac:dyDescent="0.3">
      <c r="A62" s="36" t="s">
        <v>45</v>
      </c>
      <c r="B62" s="15">
        <v>58047</v>
      </c>
    </row>
    <row r="63" spans="1:2" x14ac:dyDescent="0.3">
      <c r="A63" s="36" t="s">
        <v>52</v>
      </c>
      <c r="B63" s="15">
        <v>52507</v>
      </c>
    </row>
    <row r="64" spans="1:2" x14ac:dyDescent="0.3">
      <c r="A64" s="36" t="s">
        <v>16</v>
      </c>
      <c r="B64" s="15">
        <v>33492</v>
      </c>
    </row>
    <row r="65" spans="1:4" x14ac:dyDescent="0.3">
      <c r="A65" s="36" t="s">
        <v>35</v>
      </c>
      <c r="B65" s="15">
        <v>25750</v>
      </c>
    </row>
    <row r="66" spans="1:4" x14ac:dyDescent="0.3">
      <c r="A66" s="36" t="s">
        <v>22</v>
      </c>
      <c r="B66" s="15">
        <v>40670</v>
      </c>
    </row>
    <row r="67" spans="1:4" x14ac:dyDescent="0.3">
      <c r="A67" s="36" t="s">
        <v>74</v>
      </c>
      <c r="B67" s="15">
        <v>39218</v>
      </c>
    </row>
    <row r="68" spans="1:4" x14ac:dyDescent="0.3">
      <c r="A68" s="27" t="s">
        <v>27</v>
      </c>
      <c r="B68" s="15">
        <v>212941</v>
      </c>
    </row>
    <row r="69" spans="1:4" x14ac:dyDescent="0.3">
      <c r="A69" s="36" t="s">
        <v>45</v>
      </c>
      <c r="B69" s="15">
        <v>33653</v>
      </c>
    </row>
    <row r="70" spans="1:4" x14ac:dyDescent="0.3">
      <c r="A70" s="36" t="s">
        <v>52</v>
      </c>
      <c r="B70" s="15">
        <v>30290</v>
      </c>
    </row>
    <row r="71" spans="1:4" x14ac:dyDescent="0.3">
      <c r="A71" s="36" t="s">
        <v>16</v>
      </c>
      <c r="B71" s="15">
        <v>39645</v>
      </c>
    </row>
    <row r="72" spans="1:4" x14ac:dyDescent="0.3">
      <c r="A72" s="36" t="s">
        <v>35</v>
      </c>
      <c r="B72" s="15">
        <v>37846</v>
      </c>
    </row>
    <row r="73" spans="1:4" x14ac:dyDescent="0.3">
      <c r="A73" s="36" t="s">
        <v>22</v>
      </c>
      <c r="B73" s="15">
        <v>32047</v>
      </c>
    </row>
    <row r="74" spans="1:4" x14ac:dyDescent="0.3">
      <c r="A74" s="36" t="s">
        <v>74</v>
      </c>
      <c r="B74" s="15">
        <v>39460</v>
      </c>
    </row>
    <row r="75" spans="1:4" x14ac:dyDescent="0.3">
      <c r="D75" s="18" t="s">
        <v>649</v>
      </c>
    </row>
    <row r="77" spans="1:4" ht="15.6" x14ac:dyDescent="0.3">
      <c r="A77" s="70" t="s">
        <v>650</v>
      </c>
    </row>
    <row r="78" spans="1:4" ht="15.6" x14ac:dyDescent="0.3">
      <c r="A78" s="71" t="s">
        <v>1</v>
      </c>
      <c r="B78" s="71" t="s">
        <v>651</v>
      </c>
    </row>
    <row r="79" spans="1:4" ht="15.6" x14ac:dyDescent="0.3">
      <c r="A79" s="71" t="s">
        <v>43</v>
      </c>
      <c r="B79" s="71" t="s">
        <v>52</v>
      </c>
    </row>
    <row r="80" spans="1:4" ht="15.6" x14ac:dyDescent="0.3">
      <c r="A80" s="71" t="s">
        <v>33</v>
      </c>
      <c r="B80" s="71" t="s">
        <v>35</v>
      </c>
    </row>
    <row r="81" spans="1:2" ht="15.6" x14ac:dyDescent="0.3">
      <c r="A81" s="71" t="s">
        <v>14</v>
      </c>
      <c r="B81" s="71" t="s">
        <v>45</v>
      </c>
    </row>
    <row r="82" spans="1:2" ht="15.6" x14ac:dyDescent="0.3">
      <c r="A82" s="71" t="s">
        <v>653</v>
      </c>
      <c r="B82" s="71" t="s">
        <v>652</v>
      </c>
    </row>
  </sheetData>
  <pageMargins left="0.7" right="0.7" top="0.75" bottom="0.75" header="0.3" footer="0.3"/>
  <pageSetup orientation="portrait" r:id="rId5"/>
  <drawing r:id="rId6"/>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6A6D6-13BB-47BB-AED7-DC950839C37D}">
  <dimension ref="A1:G41"/>
  <sheetViews>
    <sheetView topLeftCell="A16" workbookViewId="0">
      <selection activeCell="I21" sqref="I21"/>
    </sheetView>
  </sheetViews>
  <sheetFormatPr defaultRowHeight="14.4" x14ac:dyDescent="0.3"/>
  <cols>
    <col min="1" max="1" width="17.33203125" customWidth="1"/>
    <col min="2" max="2" width="18.21875" bestFit="1" customWidth="1"/>
    <col min="3" max="3" width="21.33203125" bestFit="1" customWidth="1"/>
    <col min="4" max="4" width="31.109375" customWidth="1"/>
    <col min="5" max="5" width="19" bestFit="1" customWidth="1"/>
    <col min="6" max="6" width="12.44140625" bestFit="1" customWidth="1"/>
    <col min="7" max="7" width="13.109375" bestFit="1" customWidth="1"/>
  </cols>
  <sheetData>
    <row r="1" spans="1:7" ht="19.8" x14ac:dyDescent="0.4">
      <c r="A1" s="61" t="s">
        <v>655</v>
      </c>
    </row>
    <row r="3" spans="1:7" x14ac:dyDescent="0.3">
      <c r="A3" s="26" t="s">
        <v>599</v>
      </c>
      <c r="B3" t="s">
        <v>656</v>
      </c>
      <c r="C3" t="s">
        <v>657</v>
      </c>
      <c r="D3" t="s">
        <v>658</v>
      </c>
      <c r="E3" t="s">
        <v>659</v>
      </c>
      <c r="F3" t="s">
        <v>660</v>
      </c>
      <c r="G3" t="s">
        <v>661</v>
      </c>
    </row>
    <row r="4" spans="1:7" x14ac:dyDescent="0.3">
      <c r="A4" s="27" t="s">
        <v>38</v>
      </c>
      <c r="B4" s="15">
        <v>2439664</v>
      </c>
      <c r="C4" s="15">
        <v>186334</v>
      </c>
      <c r="D4" s="15">
        <v>10672</v>
      </c>
      <c r="E4" s="15">
        <v>34852.342857142859</v>
      </c>
      <c r="F4" s="15">
        <v>2661.9142857142856</v>
      </c>
      <c r="G4" s="15">
        <v>152.45714285714286</v>
      </c>
    </row>
    <row r="5" spans="1:7" x14ac:dyDescent="0.3">
      <c r="A5" s="27" t="s">
        <v>25</v>
      </c>
      <c r="B5" s="15">
        <v>1986356</v>
      </c>
      <c r="C5" s="15">
        <v>159783</v>
      </c>
      <c r="D5" s="15">
        <v>9872</v>
      </c>
      <c r="E5" s="15">
        <v>34247.517241379312</v>
      </c>
      <c r="F5" s="15">
        <v>2754.8793103448274</v>
      </c>
      <c r="G5" s="15">
        <v>170.20689655172413</v>
      </c>
    </row>
    <row r="6" spans="1:7" x14ac:dyDescent="0.3">
      <c r="A6" s="27" t="s">
        <v>31</v>
      </c>
      <c r="B6" s="15">
        <v>2266053</v>
      </c>
      <c r="C6" s="15">
        <v>183346</v>
      </c>
      <c r="D6" s="15">
        <v>10032</v>
      </c>
      <c r="E6" s="15">
        <v>33821.686567164179</v>
      </c>
      <c r="F6" s="15">
        <v>2736.5074626865671</v>
      </c>
      <c r="G6" s="15">
        <v>149.73134328358208</v>
      </c>
    </row>
    <row r="7" spans="1:7" x14ac:dyDescent="0.3">
      <c r="A7" s="27" t="s">
        <v>19</v>
      </c>
      <c r="B7" s="15">
        <v>1846272</v>
      </c>
      <c r="C7" s="15">
        <v>138793</v>
      </c>
      <c r="D7" s="15">
        <v>6434</v>
      </c>
      <c r="E7" s="15">
        <v>38464</v>
      </c>
      <c r="F7" s="15">
        <v>2891.5208333333335</v>
      </c>
      <c r="G7" s="15">
        <v>134.04166666666666</v>
      </c>
    </row>
    <row r="10" spans="1:7" ht="19.8" x14ac:dyDescent="0.4">
      <c r="A10" s="72" t="s">
        <v>662</v>
      </c>
    </row>
    <row r="12" spans="1:7" x14ac:dyDescent="0.3">
      <c r="A12" s="18" t="s">
        <v>12</v>
      </c>
      <c r="B12" t="s">
        <v>663</v>
      </c>
      <c r="C12" t="s">
        <v>664</v>
      </c>
    </row>
    <row r="13" spans="1:7" x14ac:dyDescent="0.3">
      <c r="A13" s="9" t="s">
        <v>19</v>
      </c>
      <c r="B13" t="s">
        <v>666</v>
      </c>
      <c r="C13">
        <v>3765.4</v>
      </c>
    </row>
    <row r="14" spans="1:7" x14ac:dyDescent="0.3">
      <c r="A14" s="9" t="s">
        <v>19</v>
      </c>
      <c r="B14" t="s">
        <v>665</v>
      </c>
      <c r="C14">
        <v>2865</v>
      </c>
    </row>
    <row r="15" spans="1:7" x14ac:dyDescent="0.3">
      <c r="A15" s="9" t="s">
        <v>31</v>
      </c>
      <c r="B15" t="s">
        <v>665</v>
      </c>
      <c r="C15">
        <v>3480.6666666666665</v>
      </c>
    </row>
    <row r="16" spans="1:7" x14ac:dyDescent="0.3">
      <c r="A16" s="9" t="s">
        <v>31</v>
      </c>
      <c r="B16" t="s">
        <v>666</v>
      </c>
      <c r="C16">
        <v>3140.666666666667</v>
      </c>
    </row>
    <row r="17" spans="1:4" x14ac:dyDescent="0.3">
      <c r="A17" s="9" t="s">
        <v>25</v>
      </c>
      <c r="B17" t="s">
        <v>666</v>
      </c>
      <c r="C17">
        <v>3841.8571428571427</v>
      </c>
    </row>
    <row r="18" spans="1:4" x14ac:dyDescent="0.3">
      <c r="A18" s="9" t="s">
        <v>25</v>
      </c>
      <c r="B18" t="s">
        <v>665</v>
      </c>
      <c r="C18">
        <v>3512.25</v>
      </c>
    </row>
    <row r="19" spans="1:4" x14ac:dyDescent="0.3">
      <c r="A19" s="9" t="s">
        <v>38</v>
      </c>
      <c r="B19" t="s">
        <v>665</v>
      </c>
      <c r="C19">
        <v>3931.1111111111113</v>
      </c>
    </row>
    <row r="20" spans="1:4" x14ac:dyDescent="0.3">
      <c r="A20" s="9" t="s">
        <v>38</v>
      </c>
      <c r="B20" t="s">
        <v>666</v>
      </c>
      <c r="C20">
        <v>3009.5</v>
      </c>
    </row>
    <row r="23" spans="1:4" ht="19.8" x14ac:dyDescent="0.4">
      <c r="A23" s="61" t="s">
        <v>667</v>
      </c>
    </row>
    <row r="25" spans="1:4" x14ac:dyDescent="0.3">
      <c r="A25" s="26" t="s">
        <v>599</v>
      </c>
      <c r="B25" t="s">
        <v>669</v>
      </c>
      <c r="C25" s="87" t="s">
        <v>668</v>
      </c>
      <c r="D25" s="87" t="s">
        <v>670</v>
      </c>
    </row>
    <row r="26" spans="1:4" x14ac:dyDescent="0.3">
      <c r="A26" s="27" t="s">
        <v>38</v>
      </c>
      <c r="B26" s="15">
        <v>237651</v>
      </c>
      <c r="C26">
        <f>VLOOKUP(A26, 'Campaign Metadata'!A:E, 5, FALSE)</f>
        <v>180000</v>
      </c>
      <c r="D26">
        <f>(B26/C26)*1000</f>
        <v>1320.2833333333333</v>
      </c>
    </row>
    <row r="27" spans="1:4" x14ac:dyDescent="0.3">
      <c r="A27" s="27" t="s">
        <v>25</v>
      </c>
      <c r="B27" s="15">
        <v>201739</v>
      </c>
      <c r="C27">
        <f>VLOOKUP(A27, 'Campaign Metadata'!A:E, 5, FALSE)</f>
        <v>200000</v>
      </c>
      <c r="D27">
        <f t="shared" ref="D27:D29" si="0">(B27/C27)*1000</f>
        <v>1008.6949999999999</v>
      </c>
    </row>
    <row r="28" spans="1:4" x14ac:dyDescent="0.3">
      <c r="A28" s="27" t="s">
        <v>31</v>
      </c>
      <c r="B28" s="15">
        <v>232821</v>
      </c>
      <c r="C28">
        <f>VLOOKUP(A28, 'Campaign Metadata'!A:E, 5, FALSE)</f>
        <v>250000</v>
      </c>
      <c r="D28">
        <f t="shared" si="0"/>
        <v>931.28399999999999</v>
      </c>
    </row>
    <row r="29" spans="1:4" x14ac:dyDescent="0.3">
      <c r="A29" s="27" t="s">
        <v>19</v>
      </c>
      <c r="B29" s="15">
        <v>173901</v>
      </c>
      <c r="C29">
        <f>VLOOKUP(A29, 'Campaign Metadata'!A:E, 5, FALSE)</f>
        <v>150000</v>
      </c>
      <c r="D29">
        <f t="shared" si="0"/>
        <v>1159.3400000000001</v>
      </c>
    </row>
    <row r="32" spans="1:4" ht="19.8" x14ac:dyDescent="0.4">
      <c r="A32" s="61" t="s">
        <v>671</v>
      </c>
    </row>
    <row r="35" spans="1:4" x14ac:dyDescent="0.3">
      <c r="A35" t="s">
        <v>12</v>
      </c>
      <c r="B35" s="18" t="s">
        <v>572</v>
      </c>
      <c r="C35" s="18" t="s">
        <v>573</v>
      </c>
      <c r="D35" s="18" t="s">
        <v>672</v>
      </c>
    </row>
    <row r="36" spans="1:4" x14ac:dyDescent="0.3">
      <c r="A36" s="91" t="s">
        <v>19</v>
      </c>
      <c r="B36" s="92" t="s">
        <v>578</v>
      </c>
      <c r="C36" s="93" t="s">
        <v>313</v>
      </c>
      <c r="D36">
        <f>SUMIFS('Engagement Summary'!C:C, 'Engagement Summary'!A:A, "&gt;="&amp;B36, 'Engagement Summary'!A:A, "&lt;="&amp;C36)</f>
        <v>18105</v>
      </c>
    </row>
    <row r="37" spans="1:4" x14ac:dyDescent="0.3">
      <c r="A37" s="94" t="s">
        <v>25</v>
      </c>
      <c r="B37" s="95" t="s">
        <v>581</v>
      </c>
      <c r="C37" s="96" t="s">
        <v>44</v>
      </c>
      <c r="D37">
        <f>SUMIFS('Engagement Summary'!C:C, 'Engagement Summary'!A:A, "&gt;="&amp;B37, 'Engagement Summary'!A:A, "&lt;="&amp;C37)</f>
        <v>14518</v>
      </c>
    </row>
    <row r="38" spans="1:4" x14ac:dyDescent="0.3">
      <c r="A38" s="91" t="s">
        <v>31</v>
      </c>
      <c r="B38" s="92" t="s">
        <v>585</v>
      </c>
      <c r="C38" s="93" t="s">
        <v>230</v>
      </c>
      <c r="D38">
        <f>SUMIFS('Engagement Summary'!C:C, 'Engagement Summary'!A:A, "&gt;="&amp;B38, 'Engagement Summary'!A:A, "&lt;="&amp;C38)</f>
        <v>11428</v>
      </c>
    </row>
    <row r="39" spans="1:4" x14ac:dyDescent="0.3">
      <c r="A39" s="94" t="s">
        <v>38</v>
      </c>
      <c r="B39" s="95" t="s">
        <v>589</v>
      </c>
      <c r="C39" s="96" t="s">
        <v>571</v>
      </c>
      <c r="D39">
        <f>SUMIFS('Engagement Summary'!C:C, 'Engagement Summary'!A:A, "&gt;="&amp;B39, 'Engagement Summary'!A:A, "&lt;="&amp;C39)</f>
        <v>20682</v>
      </c>
    </row>
    <row r="41" spans="1:4" ht="15.6" x14ac:dyDescent="0.3">
      <c r="A41" s="71" t="s">
        <v>673</v>
      </c>
    </row>
  </sheetData>
  <pageMargins left="0.7" right="0.7" top="0.75" bottom="0.75" header="0.3" footer="0.3"/>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C435-BE47-4292-AF68-775AC2E0324C}">
  <dimension ref="A1:E101"/>
  <sheetViews>
    <sheetView topLeftCell="A96" zoomScaleNormal="100" workbookViewId="0">
      <selection activeCell="G124" sqref="G124"/>
    </sheetView>
  </sheetViews>
  <sheetFormatPr defaultRowHeight="14.4" x14ac:dyDescent="0.3"/>
  <cols>
    <col min="1" max="1" width="20.77734375" bestFit="1" customWidth="1"/>
    <col min="2" max="2" width="15.5546875" bestFit="1" customWidth="1"/>
    <col min="3" max="3" width="9.44140625" bestFit="1" customWidth="1"/>
    <col min="4" max="4" width="7" bestFit="1" customWidth="1"/>
    <col min="5" max="5" width="8.44140625" bestFit="1" customWidth="1"/>
    <col min="6" max="6" width="37.88671875" bestFit="1" customWidth="1"/>
    <col min="7" max="7" width="20.77734375" bestFit="1" customWidth="1"/>
    <col min="8" max="8" width="37.88671875" bestFit="1" customWidth="1"/>
    <col min="9" max="9" width="20.77734375" bestFit="1" customWidth="1"/>
  </cols>
  <sheetData>
    <row r="1" spans="1:5" ht="19.8" x14ac:dyDescent="0.4">
      <c r="A1" s="61" t="s">
        <v>674</v>
      </c>
    </row>
    <row r="3" spans="1:5" x14ac:dyDescent="0.3">
      <c r="A3" s="26" t="s">
        <v>619</v>
      </c>
      <c r="B3" s="26" t="s">
        <v>602</v>
      </c>
    </row>
    <row r="4" spans="1:5" x14ac:dyDescent="0.3">
      <c r="A4" s="26" t="s">
        <v>599</v>
      </c>
      <c r="B4" t="s">
        <v>43</v>
      </c>
      <c r="C4" t="s">
        <v>33</v>
      </c>
      <c r="D4" t="s">
        <v>14</v>
      </c>
      <c r="E4" t="s">
        <v>27</v>
      </c>
    </row>
    <row r="5" spans="1:5" x14ac:dyDescent="0.3">
      <c r="A5" s="97">
        <v>45474</v>
      </c>
      <c r="B5" s="15">
        <v>505</v>
      </c>
      <c r="C5" s="15">
        <v>226</v>
      </c>
      <c r="D5" s="15">
        <v>1420</v>
      </c>
      <c r="E5" s="15">
        <v>144</v>
      </c>
    </row>
    <row r="6" spans="1:5" x14ac:dyDescent="0.3">
      <c r="A6" s="97">
        <v>45481</v>
      </c>
      <c r="B6" s="15">
        <v>350</v>
      </c>
      <c r="C6" s="15">
        <v>1757</v>
      </c>
      <c r="D6" s="15">
        <v>987</v>
      </c>
      <c r="E6" s="15">
        <v>883</v>
      </c>
    </row>
    <row r="7" spans="1:5" x14ac:dyDescent="0.3">
      <c r="A7" s="97">
        <v>45488</v>
      </c>
      <c r="B7" s="15">
        <v>170</v>
      </c>
      <c r="C7" s="15">
        <v>1960</v>
      </c>
      <c r="D7" s="15">
        <v>704</v>
      </c>
      <c r="E7" s="15">
        <v>224</v>
      </c>
    </row>
    <row r="8" spans="1:5" x14ac:dyDescent="0.3">
      <c r="A8" s="97">
        <v>45495</v>
      </c>
      <c r="B8" s="15">
        <v>1391</v>
      </c>
      <c r="C8" s="15">
        <v>508</v>
      </c>
      <c r="D8" s="15">
        <v>1701</v>
      </c>
      <c r="E8" s="15">
        <v>804</v>
      </c>
    </row>
    <row r="9" spans="1:5" x14ac:dyDescent="0.3">
      <c r="A9" s="97">
        <v>45502</v>
      </c>
      <c r="B9" s="15">
        <v>160</v>
      </c>
      <c r="C9" s="15">
        <v>653</v>
      </c>
      <c r="D9" s="15">
        <v>1756</v>
      </c>
      <c r="E9" s="15">
        <v>576</v>
      </c>
    </row>
    <row r="11" spans="1:5" x14ac:dyDescent="0.3">
      <c r="A11" s="18" t="s">
        <v>675</v>
      </c>
    </row>
    <row r="12" spans="1:5" x14ac:dyDescent="0.3">
      <c r="A12" s="18" t="s">
        <v>676</v>
      </c>
    </row>
    <row r="13" spans="1:5" x14ac:dyDescent="0.3">
      <c r="A13" s="18" t="s">
        <v>677</v>
      </c>
    </row>
    <row r="18" spans="1:4" ht="19.8" x14ac:dyDescent="0.4">
      <c r="A18" s="61" t="s">
        <v>678</v>
      </c>
    </row>
    <row r="21" spans="1:4" x14ac:dyDescent="0.3">
      <c r="A21" s="26" t="s">
        <v>599</v>
      </c>
      <c r="B21" t="s">
        <v>679</v>
      </c>
    </row>
    <row r="22" spans="1:4" ht="15.6" x14ac:dyDescent="0.3">
      <c r="A22" s="98">
        <v>45656</v>
      </c>
      <c r="B22" s="68">
        <v>6530</v>
      </c>
      <c r="D22" s="71" t="s">
        <v>680</v>
      </c>
    </row>
    <row r="23" spans="1:4" x14ac:dyDescent="0.3">
      <c r="A23" s="97">
        <v>45698</v>
      </c>
      <c r="B23" s="15">
        <v>5281</v>
      </c>
    </row>
    <row r="24" spans="1:4" x14ac:dyDescent="0.3">
      <c r="A24" s="97">
        <v>45642</v>
      </c>
      <c r="B24" s="15">
        <v>5044</v>
      </c>
    </row>
    <row r="25" spans="1:4" x14ac:dyDescent="0.3">
      <c r="A25" s="97">
        <v>45712</v>
      </c>
      <c r="B25" s="15">
        <v>4806</v>
      </c>
    </row>
    <row r="26" spans="1:4" x14ac:dyDescent="0.3">
      <c r="A26" s="97">
        <v>45628</v>
      </c>
      <c r="B26" s="15">
        <v>4795</v>
      </c>
    </row>
    <row r="27" spans="1:4" x14ac:dyDescent="0.3">
      <c r="A27" s="97">
        <v>45635</v>
      </c>
      <c r="B27" s="15">
        <v>4792</v>
      </c>
    </row>
    <row r="28" spans="1:4" x14ac:dyDescent="0.3">
      <c r="A28" s="97">
        <v>45782</v>
      </c>
      <c r="B28" s="15">
        <v>4594</v>
      </c>
    </row>
    <row r="29" spans="1:4" x14ac:dyDescent="0.3">
      <c r="A29" s="97">
        <v>45600</v>
      </c>
      <c r="B29" s="15">
        <v>4584</v>
      </c>
    </row>
    <row r="30" spans="1:4" x14ac:dyDescent="0.3">
      <c r="A30" s="97">
        <v>45544</v>
      </c>
      <c r="B30" s="15">
        <v>4360</v>
      </c>
    </row>
    <row r="31" spans="1:4" x14ac:dyDescent="0.3">
      <c r="A31" s="97">
        <v>45747</v>
      </c>
      <c r="B31" s="15">
        <v>4298</v>
      </c>
    </row>
    <row r="32" spans="1:4" x14ac:dyDescent="0.3">
      <c r="A32" s="97">
        <v>45733</v>
      </c>
      <c r="B32" s="15">
        <v>4042</v>
      </c>
    </row>
    <row r="33" spans="1:2" x14ac:dyDescent="0.3">
      <c r="A33" s="97">
        <v>45768</v>
      </c>
      <c r="B33" s="15">
        <v>4040</v>
      </c>
    </row>
    <row r="34" spans="1:2" x14ac:dyDescent="0.3">
      <c r="A34" s="97">
        <v>45621</v>
      </c>
      <c r="B34" s="15">
        <v>4008</v>
      </c>
    </row>
    <row r="35" spans="1:2" x14ac:dyDescent="0.3">
      <c r="A35" s="97">
        <v>45649</v>
      </c>
      <c r="B35" s="15">
        <v>3914</v>
      </c>
    </row>
    <row r="36" spans="1:2" x14ac:dyDescent="0.3">
      <c r="A36" s="97">
        <v>45460</v>
      </c>
      <c r="B36" s="15">
        <v>3907</v>
      </c>
    </row>
    <row r="37" spans="1:2" x14ac:dyDescent="0.3">
      <c r="A37" s="97">
        <v>45572</v>
      </c>
      <c r="B37" s="15">
        <v>3759</v>
      </c>
    </row>
    <row r="38" spans="1:2" x14ac:dyDescent="0.3">
      <c r="A38" s="97">
        <v>45516</v>
      </c>
      <c r="B38" s="15">
        <v>3728</v>
      </c>
    </row>
    <row r="39" spans="1:2" x14ac:dyDescent="0.3">
      <c r="A39" s="97">
        <v>45726</v>
      </c>
      <c r="B39" s="15">
        <v>3712</v>
      </c>
    </row>
    <row r="40" spans="1:2" x14ac:dyDescent="0.3">
      <c r="A40" s="97">
        <v>45705</v>
      </c>
      <c r="B40" s="15">
        <v>3693</v>
      </c>
    </row>
    <row r="41" spans="1:2" x14ac:dyDescent="0.3">
      <c r="A41" s="97">
        <v>45677</v>
      </c>
      <c r="B41" s="15">
        <v>3614</v>
      </c>
    </row>
    <row r="42" spans="1:2" x14ac:dyDescent="0.3">
      <c r="A42" s="97">
        <v>45775</v>
      </c>
      <c r="B42" s="15">
        <v>3577</v>
      </c>
    </row>
    <row r="43" spans="1:2" x14ac:dyDescent="0.3">
      <c r="A43" s="97">
        <v>45663</v>
      </c>
      <c r="B43" s="15">
        <v>3557</v>
      </c>
    </row>
    <row r="44" spans="1:2" x14ac:dyDescent="0.3">
      <c r="A44" s="97">
        <v>45446</v>
      </c>
      <c r="B44" s="15">
        <v>3554</v>
      </c>
    </row>
    <row r="45" spans="1:2" x14ac:dyDescent="0.3">
      <c r="A45" s="97">
        <v>45684</v>
      </c>
      <c r="B45" s="15">
        <v>3383</v>
      </c>
    </row>
    <row r="46" spans="1:2" x14ac:dyDescent="0.3">
      <c r="A46" s="97">
        <v>45558</v>
      </c>
      <c r="B46" s="15">
        <v>3333</v>
      </c>
    </row>
    <row r="47" spans="1:2" x14ac:dyDescent="0.3">
      <c r="A47" s="97">
        <v>45565</v>
      </c>
      <c r="B47" s="15">
        <v>3151</v>
      </c>
    </row>
    <row r="48" spans="1:2" x14ac:dyDescent="0.3">
      <c r="A48" s="97">
        <v>45481</v>
      </c>
      <c r="B48" s="15">
        <v>3042</v>
      </c>
    </row>
    <row r="49" spans="1:2" x14ac:dyDescent="0.3">
      <c r="A49" s="97">
        <v>45467</v>
      </c>
      <c r="B49" s="15">
        <v>3011</v>
      </c>
    </row>
    <row r="50" spans="1:2" x14ac:dyDescent="0.3">
      <c r="A50" s="97">
        <v>45523</v>
      </c>
      <c r="B50" s="15">
        <v>2989</v>
      </c>
    </row>
    <row r="51" spans="1:2" x14ac:dyDescent="0.3">
      <c r="A51" s="97">
        <v>45453</v>
      </c>
      <c r="B51" s="15">
        <v>2980</v>
      </c>
    </row>
    <row r="52" spans="1:2" x14ac:dyDescent="0.3">
      <c r="A52" s="97">
        <v>45530</v>
      </c>
      <c r="B52" s="15">
        <v>2903</v>
      </c>
    </row>
    <row r="53" spans="1:2" x14ac:dyDescent="0.3">
      <c r="A53" s="97">
        <v>45537</v>
      </c>
      <c r="B53" s="15">
        <v>2822</v>
      </c>
    </row>
    <row r="54" spans="1:2" x14ac:dyDescent="0.3">
      <c r="A54" s="97">
        <v>45586</v>
      </c>
      <c r="B54" s="15">
        <v>2821</v>
      </c>
    </row>
    <row r="55" spans="1:2" x14ac:dyDescent="0.3">
      <c r="A55" s="97">
        <v>45670</v>
      </c>
      <c r="B55" s="15">
        <v>2777</v>
      </c>
    </row>
    <row r="56" spans="1:2" x14ac:dyDescent="0.3">
      <c r="A56" s="97">
        <v>45495</v>
      </c>
      <c r="B56" s="15">
        <v>2753</v>
      </c>
    </row>
    <row r="57" spans="1:2" x14ac:dyDescent="0.3">
      <c r="A57" s="97">
        <v>45593</v>
      </c>
      <c r="B57" s="15">
        <v>2656</v>
      </c>
    </row>
    <row r="58" spans="1:2" x14ac:dyDescent="0.3">
      <c r="A58" s="97">
        <v>45754</v>
      </c>
      <c r="B58" s="15">
        <v>2412</v>
      </c>
    </row>
    <row r="59" spans="1:2" x14ac:dyDescent="0.3">
      <c r="A59" s="97">
        <v>45719</v>
      </c>
      <c r="B59" s="15">
        <v>2410</v>
      </c>
    </row>
    <row r="60" spans="1:2" x14ac:dyDescent="0.3">
      <c r="A60" s="97">
        <v>45607</v>
      </c>
      <c r="B60" s="15">
        <v>2295</v>
      </c>
    </row>
    <row r="61" spans="1:2" x14ac:dyDescent="0.3">
      <c r="A61" s="97">
        <v>45488</v>
      </c>
      <c r="B61" s="15">
        <v>2270</v>
      </c>
    </row>
    <row r="62" spans="1:2" x14ac:dyDescent="0.3">
      <c r="A62" s="97">
        <v>45691</v>
      </c>
      <c r="B62" s="15">
        <v>2194</v>
      </c>
    </row>
    <row r="63" spans="1:2" x14ac:dyDescent="0.3">
      <c r="A63" s="97">
        <v>45502</v>
      </c>
      <c r="B63" s="15">
        <v>2193</v>
      </c>
    </row>
    <row r="64" spans="1:2" x14ac:dyDescent="0.3">
      <c r="A64" s="97">
        <v>45789</v>
      </c>
      <c r="B64" s="15">
        <v>1995</v>
      </c>
    </row>
    <row r="65" spans="1:5" x14ac:dyDescent="0.3">
      <c r="A65" s="97">
        <v>45579</v>
      </c>
      <c r="B65" s="15">
        <v>1856</v>
      </c>
    </row>
    <row r="66" spans="1:5" x14ac:dyDescent="0.3">
      <c r="A66" s="97">
        <v>45740</v>
      </c>
      <c r="B66" s="15">
        <v>1616</v>
      </c>
    </row>
    <row r="67" spans="1:5" x14ac:dyDescent="0.3">
      <c r="A67" s="97">
        <v>45551</v>
      </c>
      <c r="B67" s="15">
        <v>1568</v>
      </c>
    </row>
    <row r="68" spans="1:5" x14ac:dyDescent="0.3">
      <c r="A68" s="97">
        <v>45474</v>
      </c>
      <c r="B68" s="15">
        <v>1293</v>
      </c>
    </row>
    <row r="69" spans="1:5" x14ac:dyDescent="0.3">
      <c r="A69" s="97">
        <v>45509</v>
      </c>
      <c r="B69" s="15">
        <v>802</v>
      </c>
    </row>
    <row r="70" spans="1:5" x14ac:dyDescent="0.3">
      <c r="A70" s="97">
        <v>45614</v>
      </c>
      <c r="B70" s="15">
        <v>528</v>
      </c>
    </row>
    <row r="71" spans="1:5" x14ac:dyDescent="0.3">
      <c r="A71" s="97">
        <v>45761</v>
      </c>
      <c r="B71" s="15">
        <v>-137</v>
      </c>
    </row>
    <row r="74" spans="1:5" ht="19.8" x14ac:dyDescent="0.4">
      <c r="A74" s="61" t="s">
        <v>681</v>
      </c>
    </row>
    <row r="77" spans="1:5" x14ac:dyDescent="0.3">
      <c r="A77" s="26" t="s">
        <v>618</v>
      </c>
      <c r="B77" s="26" t="s">
        <v>602</v>
      </c>
    </row>
    <row r="78" spans="1:5" x14ac:dyDescent="0.3">
      <c r="A78" s="26" t="s">
        <v>599</v>
      </c>
      <c r="B78" t="s">
        <v>43</v>
      </c>
      <c r="C78" t="s">
        <v>33</v>
      </c>
      <c r="D78" t="s">
        <v>14</v>
      </c>
      <c r="E78" t="s">
        <v>27</v>
      </c>
    </row>
    <row r="79" spans="1:5" x14ac:dyDescent="0.3">
      <c r="A79" s="97">
        <v>45663</v>
      </c>
      <c r="B79" s="9">
        <v>95728</v>
      </c>
      <c r="C79" s="9">
        <v>466382</v>
      </c>
      <c r="D79" s="9">
        <v>371156</v>
      </c>
      <c r="E79" s="9">
        <v>95410</v>
      </c>
    </row>
    <row r="80" spans="1:5" x14ac:dyDescent="0.3">
      <c r="A80" s="97">
        <v>45670</v>
      </c>
      <c r="B80" s="9">
        <v>224699</v>
      </c>
      <c r="C80" s="9">
        <v>349413</v>
      </c>
      <c r="D80" s="9">
        <v>487896</v>
      </c>
      <c r="E80" s="9">
        <v>14437</v>
      </c>
    </row>
    <row r="81" spans="1:5" x14ac:dyDescent="0.3">
      <c r="A81" s="97">
        <v>45677</v>
      </c>
      <c r="B81" s="9">
        <v>479490</v>
      </c>
      <c r="C81" s="9">
        <v>383681</v>
      </c>
      <c r="D81" s="9">
        <v>124404</v>
      </c>
      <c r="E81" s="9">
        <v>336949</v>
      </c>
    </row>
    <row r="82" spans="1:5" x14ac:dyDescent="0.3">
      <c r="A82" s="97">
        <v>45684</v>
      </c>
      <c r="B82" s="9">
        <v>321307</v>
      </c>
      <c r="C82" s="9">
        <v>357265</v>
      </c>
      <c r="D82" s="9">
        <v>262569</v>
      </c>
      <c r="E82" s="9">
        <v>461669</v>
      </c>
    </row>
    <row r="98" spans="1:1" ht="19.8" x14ac:dyDescent="0.4">
      <c r="A98" s="61" t="s">
        <v>682</v>
      </c>
    </row>
    <row r="100" spans="1:1" ht="15.6" x14ac:dyDescent="0.3">
      <c r="A100" s="58" t="s">
        <v>683</v>
      </c>
    </row>
    <row r="101" spans="1:1" x14ac:dyDescent="0.3">
      <c r="A101" s="18">
        <f>CORREL('Engagement Summary'!C:C, 'Engagement Summary'!G:G)</f>
        <v>8.0963093385205145E-2</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8477-D8CF-4AE7-8547-4997716C55E9}">
  <dimension ref="B1:B2"/>
  <sheetViews>
    <sheetView workbookViewId="0">
      <selection activeCell="B1" sqref="B1"/>
    </sheetView>
  </sheetViews>
  <sheetFormatPr defaultRowHeight="14.4" x14ac:dyDescent="0.3"/>
  <sheetData>
    <row r="1" spans="2:2" x14ac:dyDescent="0.3">
      <c r="B1" t="s">
        <v>688</v>
      </c>
    </row>
    <row r="2" spans="2:2" x14ac:dyDescent="0.3">
      <c r="B2" t="s">
        <v>687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D10" sqref="D10"/>
    </sheetView>
  </sheetViews>
  <sheetFormatPr defaultColWidth="14.44140625" defaultRowHeight="15" customHeight="1" x14ac:dyDescent="0.3"/>
  <cols>
    <col min="1" max="1" width="8.77734375" customWidth="1"/>
    <col min="2" max="2" width="10.21875" customWidth="1"/>
    <col min="3" max="3" width="17.21875" style="12" customWidth="1"/>
    <col min="4" max="4" width="14.21875" customWidth="1"/>
    <col min="5" max="5" width="10.5546875" style="17" customWidth="1"/>
    <col min="6" max="7" width="8.6640625" style="15" customWidth="1"/>
    <col min="8" max="8" width="12" style="15" customWidth="1"/>
    <col min="9" max="9" width="12.88671875" style="15" customWidth="1"/>
    <col min="10" max="10" width="8.6640625" style="15" customWidth="1"/>
    <col min="11" max="11" width="15.6640625" style="15" customWidth="1"/>
    <col min="12" max="12" width="29.44140625" customWidth="1"/>
    <col min="13" max="13" width="26.44140625" customWidth="1"/>
    <col min="14" max="14" width="18.44140625" style="17" customWidth="1"/>
    <col min="15" max="15" width="17.77734375" style="17" customWidth="1"/>
    <col min="16" max="16" width="13.44140625" style="17" customWidth="1"/>
    <col min="17" max="17" width="17.6640625" style="25" customWidth="1"/>
    <col min="18" max="18" width="15.33203125" customWidth="1"/>
    <col min="19" max="19" width="8.6640625" customWidth="1"/>
    <col min="20" max="20" width="21.21875" bestFit="1" customWidth="1"/>
    <col min="21" max="21" width="20.21875" bestFit="1" customWidth="1"/>
    <col min="22" max="22" width="15" customWidth="1"/>
    <col min="23" max="23" width="8.6640625" style="17" customWidth="1"/>
    <col min="24" max="24" width="7.33203125" bestFit="1" customWidth="1"/>
    <col min="25" max="25" width="12.33203125" bestFit="1" customWidth="1"/>
    <col min="26" max="26" width="20.21875" bestFit="1" customWidth="1"/>
  </cols>
  <sheetData>
    <row r="1" spans="1:27" ht="14.4" x14ac:dyDescent="0.3">
      <c r="A1" s="1" t="s">
        <v>0</v>
      </c>
      <c r="B1" s="2" t="s">
        <v>1</v>
      </c>
      <c r="C1" s="10" t="s">
        <v>2</v>
      </c>
      <c r="D1" s="2" t="s">
        <v>3</v>
      </c>
      <c r="E1" s="20" t="s">
        <v>4</v>
      </c>
      <c r="F1" s="13" t="s">
        <v>5</v>
      </c>
      <c r="G1" s="13" t="s">
        <v>6</v>
      </c>
      <c r="H1" s="16" t="s">
        <v>7</v>
      </c>
      <c r="I1" s="16" t="s">
        <v>8</v>
      </c>
      <c r="J1" s="13" t="s">
        <v>9</v>
      </c>
      <c r="K1" s="13" t="s">
        <v>10</v>
      </c>
      <c r="L1" s="1" t="s">
        <v>11</v>
      </c>
      <c r="M1" s="2" t="s">
        <v>12</v>
      </c>
      <c r="N1" s="19" t="s">
        <v>597</v>
      </c>
      <c r="O1" s="19" t="s">
        <v>595</v>
      </c>
      <c r="P1" s="19" t="s">
        <v>596</v>
      </c>
      <c r="Q1" s="24" t="s">
        <v>598</v>
      </c>
      <c r="R1" s="22" t="s">
        <v>582</v>
      </c>
      <c r="T1" t="s">
        <v>611</v>
      </c>
      <c r="U1" t="s">
        <v>612</v>
      </c>
      <c r="V1" s="18" t="s">
        <v>613</v>
      </c>
      <c r="W1"/>
    </row>
    <row r="2" spans="1:27" ht="14.4" x14ac:dyDescent="0.3">
      <c r="A2" s="3" t="s">
        <v>13</v>
      </c>
      <c r="B2" s="3" t="s">
        <v>14</v>
      </c>
      <c r="C2" s="11" t="s">
        <v>15</v>
      </c>
      <c r="D2" s="3" t="s">
        <v>16</v>
      </c>
      <c r="E2" s="21" t="s">
        <v>17</v>
      </c>
      <c r="F2" s="14">
        <v>1461</v>
      </c>
      <c r="G2" s="14">
        <v>184</v>
      </c>
      <c r="H2" s="14">
        <v>344</v>
      </c>
      <c r="I2" s="14">
        <v>21915</v>
      </c>
      <c r="J2" s="14">
        <v>21675</v>
      </c>
      <c r="K2" s="14">
        <v>15</v>
      </c>
      <c r="L2" s="4" t="s">
        <v>18</v>
      </c>
      <c r="M2" s="5" t="s">
        <v>19</v>
      </c>
      <c r="N2" s="17" t="s">
        <v>62</v>
      </c>
      <c r="O2" s="17" t="s">
        <v>593</v>
      </c>
      <c r="Q2" s="25">
        <f>(F2+G2+H2)/I2</f>
        <v>9.0759753593429152E-2</v>
      </c>
      <c r="R2" s="15">
        <f>F2+G2+H2</f>
        <v>1989</v>
      </c>
      <c r="T2">
        <v>15</v>
      </c>
      <c r="U2" s="9" t="s">
        <v>62</v>
      </c>
      <c r="V2">
        <f>RANK(T2, T:T)</f>
        <v>323</v>
      </c>
      <c r="W2"/>
      <c r="X2" s="18" t="s">
        <v>5</v>
      </c>
      <c r="Y2" t="s">
        <v>7</v>
      </c>
      <c r="Z2" t="s">
        <v>642</v>
      </c>
      <c r="AA2" s="18" t="s">
        <v>643</v>
      </c>
    </row>
    <row r="3" spans="1:27" ht="14.4" x14ac:dyDescent="0.3">
      <c r="A3" s="3" t="s">
        <v>20</v>
      </c>
      <c r="B3" s="3" t="s">
        <v>14</v>
      </c>
      <c r="C3" s="11" t="s">
        <v>21</v>
      </c>
      <c r="D3" s="3" t="s">
        <v>22</v>
      </c>
      <c r="E3" s="21" t="s">
        <v>23</v>
      </c>
      <c r="F3" s="14">
        <v>4054</v>
      </c>
      <c r="G3" s="14">
        <v>389</v>
      </c>
      <c r="H3" s="14">
        <v>493</v>
      </c>
      <c r="I3" s="14">
        <v>64864</v>
      </c>
      <c r="J3" s="14">
        <v>64383</v>
      </c>
      <c r="K3" s="14">
        <v>117</v>
      </c>
      <c r="L3" s="4" t="s">
        <v>24</v>
      </c>
      <c r="M3" s="5" t="s">
        <v>25</v>
      </c>
      <c r="N3" s="17" t="s">
        <v>30</v>
      </c>
      <c r="O3" s="17" t="s">
        <v>594</v>
      </c>
      <c r="Q3" s="25">
        <f>(F3+G3+H3)/I3</f>
        <v>7.6097681302417369E-2</v>
      </c>
      <c r="R3" s="15">
        <f t="shared" ref="R3:R66" si="0">F3+G3+H3</f>
        <v>4936</v>
      </c>
      <c r="T3">
        <v>15</v>
      </c>
      <c r="U3" s="9" t="s">
        <v>593</v>
      </c>
      <c r="V3">
        <f>RANK(T3, T:T)</f>
        <v>323</v>
      </c>
      <c r="W3"/>
      <c r="X3">
        <v>1461</v>
      </c>
      <c r="Y3">
        <v>344</v>
      </c>
      <c r="Z3" s="9" t="s">
        <v>62</v>
      </c>
      <c r="AA3">
        <f>X3+Y3</f>
        <v>1805</v>
      </c>
    </row>
    <row r="4" spans="1:27" ht="14.4" x14ac:dyDescent="0.3">
      <c r="A4" s="3" t="s">
        <v>26</v>
      </c>
      <c r="B4" s="3" t="s">
        <v>27</v>
      </c>
      <c r="C4" s="11" t="s">
        <v>28</v>
      </c>
      <c r="D4" s="3" t="s">
        <v>16</v>
      </c>
      <c r="E4" s="21" t="s">
        <v>29</v>
      </c>
      <c r="F4" s="14">
        <v>2795</v>
      </c>
      <c r="G4" s="14">
        <v>105</v>
      </c>
      <c r="H4" s="14">
        <v>49</v>
      </c>
      <c r="I4" s="14">
        <v>53105</v>
      </c>
      <c r="J4" s="14">
        <v>52307</v>
      </c>
      <c r="K4" s="14">
        <v>204</v>
      </c>
      <c r="L4" s="4" t="s">
        <v>30</v>
      </c>
      <c r="M4" s="5" t="s">
        <v>31</v>
      </c>
      <c r="N4" s="17" t="s">
        <v>30</v>
      </c>
      <c r="Q4" s="25">
        <f>(F4+G4+H4)/I4</f>
        <v>5.5531494209584788E-2</v>
      </c>
      <c r="R4" s="15">
        <f t="shared" si="0"/>
        <v>2949</v>
      </c>
      <c r="T4">
        <v>117</v>
      </c>
      <c r="U4" s="9" t="s">
        <v>30</v>
      </c>
      <c r="V4">
        <f>RANK(T4, T:T)</f>
        <v>213</v>
      </c>
      <c r="W4"/>
      <c r="X4">
        <v>1461</v>
      </c>
      <c r="Y4">
        <v>344</v>
      </c>
      <c r="Z4" s="9" t="s">
        <v>593</v>
      </c>
      <c r="AA4">
        <f>X4+Y4</f>
        <v>1805</v>
      </c>
    </row>
    <row r="5" spans="1:27" ht="14.4" x14ac:dyDescent="0.3">
      <c r="A5" s="3" t="s">
        <v>32</v>
      </c>
      <c r="B5" s="3" t="s">
        <v>33</v>
      </c>
      <c r="C5" s="11" t="s">
        <v>34</v>
      </c>
      <c r="D5" s="3" t="s">
        <v>35</v>
      </c>
      <c r="E5" s="21" t="s">
        <v>36</v>
      </c>
      <c r="F5" s="14">
        <v>2404</v>
      </c>
      <c r="G5" s="14">
        <v>363</v>
      </c>
      <c r="H5" s="14">
        <v>138</v>
      </c>
      <c r="I5" s="14">
        <v>19232</v>
      </c>
      <c r="J5" s="14">
        <v>18636</v>
      </c>
      <c r="K5" s="14">
        <v>128</v>
      </c>
      <c r="L5" s="4" t="s">
        <v>37</v>
      </c>
      <c r="M5" s="5" t="s">
        <v>38</v>
      </c>
      <c r="N5" s="17" t="s">
        <v>37</v>
      </c>
      <c r="Q5" s="25">
        <f>(F5+G5+H5)/I5</f>
        <v>0.15105033277870217</v>
      </c>
      <c r="R5" s="15">
        <f t="shared" si="0"/>
        <v>2905</v>
      </c>
      <c r="T5">
        <v>117</v>
      </c>
      <c r="U5" s="9" t="s">
        <v>594</v>
      </c>
      <c r="V5">
        <f>RANK(T5, T:T)</f>
        <v>213</v>
      </c>
      <c r="W5"/>
      <c r="X5">
        <v>4054</v>
      </c>
      <c r="Y5">
        <v>493</v>
      </c>
      <c r="Z5" s="9" t="s">
        <v>30</v>
      </c>
      <c r="AA5">
        <f>X5+Y5</f>
        <v>4547</v>
      </c>
    </row>
    <row r="6" spans="1:27" ht="14.4" x14ac:dyDescent="0.3">
      <c r="A6" s="3" t="s">
        <v>39</v>
      </c>
      <c r="B6" s="3" t="s">
        <v>27</v>
      </c>
      <c r="C6" s="11" t="s">
        <v>40</v>
      </c>
      <c r="D6" s="3" t="s">
        <v>16</v>
      </c>
      <c r="E6" s="21" t="s">
        <v>29</v>
      </c>
      <c r="F6" s="14">
        <v>3557</v>
      </c>
      <c r="G6" s="14">
        <v>687</v>
      </c>
      <c r="H6" s="14">
        <v>424</v>
      </c>
      <c r="I6" s="14">
        <v>71140</v>
      </c>
      <c r="J6" s="14">
        <v>70701</v>
      </c>
      <c r="K6" s="14">
        <v>224</v>
      </c>
      <c r="L6" s="4" t="s">
        <v>41</v>
      </c>
      <c r="M6" s="5" t="s">
        <v>19</v>
      </c>
      <c r="N6" s="17" t="s">
        <v>37</v>
      </c>
      <c r="O6" s="17" t="s">
        <v>30</v>
      </c>
      <c r="Q6" s="25">
        <f>(F6+G6+H6)/I6</f>
        <v>6.5617093055946027E-2</v>
      </c>
      <c r="R6" s="15">
        <f t="shared" si="0"/>
        <v>4668</v>
      </c>
      <c r="T6">
        <v>204</v>
      </c>
      <c r="U6" s="9" t="s">
        <v>30</v>
      </c>
      <c r="V6">
        <f>RANK(T6, T:T)</f>
        <v>115</v>
      </c>
      <c r="W6"/>
      <c r="X6">
        <v>4054</v>
      </c>
      <c r="Y6">
        <v>493</v>
      </c>
      <c r="Z6" s="9" t="s">
        <v>594</v>
      </c>
      <c r="AA6">
        <f>X6+Y6</f>
        <v>4547</v>
      </c>
    </row>
    <row r="7" spans="1:27" ht="14.4" x14ac:dyDescent="0.3">
      <c r="A7" s="3" t="s">
        <v>42</v>
      </c>
      <c r="B7" s="3" t="s">
        <v>43</v>
      </c>
      <c r="C7" s="11" t="s">
        <v>44</v>
      </c>
      <c r="D7" s="3" t="s">
        <v>45</v>
      </c>
      <c r="E7" s="21" t="s">
        <v>46</v>
      </c>
      <c r="F7" s="14">
        <v>2945</v>
      </c>
      <c r="G7" s="14">
        <v>930</v>
      </c>
      <c r="H7" s="14">
        <v>355</v>
      </c>
      <c r="I7" s="14">
        <v>23560</v>
      </c>
      <c r="J7" s="14">
        <v>23275</v>
      </c>
      <c r="K7" s="14">
        <v>256</v>
      </c>
      <c r="L7" s="4" t="s">
        <v>30</v>
      </c>
      <c r="M7" s="5" t="s">
        <v>25</v>
      </c>
      <c r="N7" s="17" t="s">
        <v>30</v>
      </c>
      <c r="Q7" s="25">
        <f>(F7+G7+H7)/I7</f>
        <v>0.17954159592529711</v>
      </c>
      <c r="R7" s="15">
        <f t="shared" si="0"/>
        <v>4230</v>
      </c>
      <c r="T7">
        <v>128</v>
      </c>
      <c r="U7" s="9" t="s">
        <v>37</v>
      </c>
      <c r="V7">
        <f>RANK(T7, T:T)</f>
        <v>199</v>
      </c>
      <c r="W7"/>
      <c r="X7">
        <v>2795</v>
      </c>
      <c r="Y7">
        <v>49</v>
      </c>
      <c r="Z7" s="9" t="s">
        <v>30</v>
      </c>
      <c r="AA7">
        <f>X7+Y7</f>
        <v>2844</v>
      </c>
    </row>
    <row r="8" spans="1:27" ht="14.4" x14ac:dyDescent="0.3">
      <c r="A8" s="3" t="s">
        <v>47</v>
      </c>
      <c r="B8" s="3" t="s">
        <v>14</v>
      </c>
      <c r="C8" s="11" t="s">
        <v>48</v>
      </c>
      <c r="D8" s="3" t="s">
        <v>45</v>
      </c>
      <c r="E8" s="21" t="s">
        <v>49</v>
      </c>
      <c r="F8" s="14">
        <v>3860</v>
      </c>
      <c r="G8" s="14">
        <v>201</v>
      </c>
      <c r="H8" s="14">
        <v>279</v>
      </c>
      <c r="I8" s="14">
        <v>61760</v>
      </c>
      <c r="J8" s="14">
        <v>61660</v>
      </c>
      <c r="K8" s="14">
        <v>235</v>
      </c>
      <c r="L8" s="4" t="s">
        <v>30</v>
      </c>
      <c r="M8" s="5" t="s">
        <v>25</v>
      </c>
      <c r="N8" s="17" t="s">
        <v>30</v>
      </c>
      <c r="Q8" s="25">
        <f>(F8+G8+H8)/I8</f>
        <v>7.0272020725388601E-2</v>
      </c>
      <c r="R8" s="15">
        <f t="shared" si="0"/>
        <v>4340</v>
      </c>
      <c r="T8">
        <v>224</v>
      </c>
      <c r="U8" s="9" t="s">
        <v>37</v>
      </c>
      <c r="V8">
        <f>RANK(T8, T:T)</f>
        <v>88</v>
      </c>
      <c r="W8" s="39"/>
      <c r="X8">
        <v>2404</v>
      </c>
      <c r="Y8">
        <v>138</v>
      </c>
      <c r="Z8" s="9" t="s">
        <v>37</v>
      </c>
      <c r="AA8">
        <f>X8+Y8</f>
        <v>2542</v>
      </c>
    </row>
    <row r="9" spans="1:27" ht="14.4" x14ac:dyDescent="0.3">
      <c r="A9" s="3" t="s">
        <v>50</v>
      </c>
      <c r="B9" s="3" t="s">
        <v>27</v>
      </c>
      <c r="C9" s="11" t="s">
        <v>51</v>
      </c>
      <c r="D9" s="3" t="s">
        <v>52</v>
      </c>
      <c r="E9" s="21" t="s">
        <v>53</v>
      </c>
      <c r="F9" s="14">
        <v>3929</v>
      </c>
      <c r="G9" s="14">
        <v>262</v>
      </c>
      <c r="H9" s="14">
        <v>278</v>
      </c>
      <c r="I9" s="14">
        <v>43219</v>
      </c>
      <c r="J9" s="14">
        <v>42841</v>
      </c>
      <c r="K9" s="14">
        <v>39</v>
      </c>
      <c r="L9" s="4" t="s">
        <v>37</v>
      </c>
      <c r="M9" s="5" t="s">
        <v>38</v>
      </c>
      <c r="N9" s="17" t="s">
        <v>37</v>
      </c>
      <c r="Q9" s="25">
        <f>(F9+G9+H9)/I9</f>
        <v>0.10340359564080613</v>
      </c>
      <c r="R9" s="15">
        <f t="shared" si="0"/>
        <v>4469</v>
      </c>
      <c r="T9">
        <v>224</v>
      </c>
      <c r="U9" s="9" t="s">
        <v>30</v>
      </c>
      <c r="V9">
        <f>RANK(T9, T:T)</f>
        <v>88</v>
      </c>
      <c r="W9"/>
      <c r="X9">
        <v>3557</v>
      </c>
      <c r="Y9">
        <v>424</v>
      </c>
      <c r="Z9" s="9" t="s">
        <v>37</v>
      </c>
      <c r="AA9">
        <f>X9+Y9</f>
        <v>3981</v>
      </c>
    </row>
    <row r="10" spans="1:27" ht="14.4" x14ac:dyDescent="0.3">
      <c r="A10" s="3" t="s">
        <v>54</v>
      </c>
      <c r="B10" s="3" t="s">
        <v>43</v>
      </c>
      <c r="C10" s="11" t="s">
        <v>55</v>
      </c>
      <c r="D10" s="3" t="s">
        <v>22</v>
      </c>
      <c r="E10" s="21" t="s">
        <v>56</v>
      </c>
      <c r="F10" s="14">
        <v>3784</v>
      </c>
      <c r="G10" s="14">
        <v>808</v>
      </c>
      <c r="H10" s="14">
        <v>404</v>
      </c>
      <c r="I10" s="14">
        <v>56760</v>
      </c>
      <c r="J10" s="14">
        <v>56343</v>
      </c>
      <c r="K10" s="14">
        <v>131</v>
      </c>
      <c r="L10" s="4" t="s">
        <v>30</v>
      </c>
      <c r="M10" s="5" t="s">
        <v>25</v>
      </c>
      <c r="N10" s="17" t="s">
        <v>30</v>
      </c>
      <c r="Q10" s="25">
        <f>(F10+G10+H10)/I10</f>
        <v>8.8019732205778717E-2</v>
      </c>
      <c r="R10" s="15">
        <f t="shared" si="0"/>
        <v>4996</v>
      </c>
      <c r="T10">
        <v>256</v>
      </c>
      <c r="U10" s="9" t="s">
        <v>30</v>
      </c>
      <c r="V10">
        <f>RANK(T10, T:T)</f>
        <v>40</v>
      </c>
      <c r="W10"/>
      <c r="X10">
        <v>3557</v>
      </c>
      <c r="Y10">
        <v>424</v>
      </c>
      <c r="Z10" s="9" t="s">
        <v>30</v>
      </c>
      <c r="AA10">
        <f>X10+Y10</f>
        <v>3981</v>
      </c>
    </row>
    <row r="11" spans="1:27" ht="14.4" x14ac:dyDescent="0.3">
      <c r="A11" s="3" t="s">
        <v>57</v>
      </c>
      <c r="B11" s="3" t="s">
        <v>43</v>
      </c>
      <c r="C11" s="11" t="s">
        <v>58</v>
      </c>
      <c r="D11" s="3" t="s">
        <v>52</v>
      </c>
      <c r="E11" s="21" t="s">
        <v>59</v>
      </c>
      <c r="F11" s="14">
        <v>4241</v>
      </c>
      <c r="G11" s="14">
        <v>902</v>
      </c>
      <c r="H11" s="14">
        <v>47</v>
      </c>
      <c r="I11" s="14">
        <v>72097</v>
      </c>
      <c r="J11" s="14">
        <v>71598</v>
      </c>
      <c r="K11" s="14">
        <v>167</v>
      </c>
      <c r="L11" s="4" t="s">
        <v>30</v>
      </c>
      <c r="M11" s="5" t="s">
        <v>25</v>
      </c>
      <c r="N11" s="17" t="s">
        <v>30</v>
      </c>
      <c r="Q11" s="25">
        <f>(F11+G11+H11)/I11</f>
        <v>7.198635172059864E-2</v>
      </c>
      <c r="R11" s="15">
        <f t="shared" si="0"/>
        <v>5190</v>
      </c>
      <c r="T11">
        <v>235</v>
      </c>
      <c r="U11" s="9" t="s">
        <v>30</v>
      </c>
      <c r="V11">
        <f>RANK(T11, T:T)</f>
        <v>70</v>
      </c>
      <c r="W11"/>
      <c r="X11">
        <v>2945</v>
      </c>
      <c r="Y11">
        <v>355</v>
      </c>
      <c r="Z11" s="9" t="s">
        <v>30</v>
      </c>
      <c r="AA11">
        <f>X11+Y11</f>
        <v>3300</v>
      </c>
    </row>
    <row r="12" spans="1:27" ht="14.4" x14ac:dyDescent="0.3">
      <c r="A12" s="3" t="s">
        <v>60</v>
      </c>
      <c r="B12" s="3" t="s">
        <v>33</v>
      </c>
      <c r="C12" s="11" t="s">
        <v>61</v>
      </c>
      <c r="D12" s="3" t="s">
        <v>35</v>
      </c>
      <c r="E12" s="21" t="s">
        <v>36</v>
      </c>
      <c r="F12" s="14">
        <v>1792</v>
      </c>
      <c r="G12" s="14">
        <v>614</v>
      </c>
      <c r="H12" s="14">
        <v>497</v>
      </c>
      <c r="I12" s="14">
        <v>25088</v>
      </c>
      <c r="J12" s="14">
        <v>24675</v>
      </c>
      <c r="K12" s="14">
        <v>65</v>
      </c>
      <c r="L12" s="4" t="s">
        <v>62</v>
      </c>
      <c r="M12" s="5" t="s">
        <v>38</v>
      </c>
      <c r="N12" s="17" t="s">
        <v>62</v>
      </c>
      <c r="Q12" s="25">
        <f>(F12+G12+H12)/I12</f>
        <v>0.11571269132653061</v>
      </c>
      <c r="R12" s="15">
        <f t="shared" si="0"/>
        <v>2903</v>
      </c>
      <c r="T12">
        <v>39</v>
      </c>
      <c r="U12" s="9" t="s">
        <v>37</v>
      </c>
      <c r="V12">
        <f>RANK(T12, T:T)</f>
        <v>290</v>
      </c>
      <c r="W12"/>
      <c r="X12">
        <v>3860</v>
      </c>
      <c r="Y12">
        <v>279</v>
      </c>
      <c r="Z12" s="9" t="s">
        <v>30</v>
      </c>
      <c r="AA12">
        <f>X12+Y12</f>
        <v>4139</v>
      </c>
    </row>
    <row r="13" spans="1:27" ht="14.4" x14ac:dyDescent="0.3">
      <c r="A13" s="3" t="s">
        <v>63</v>
      </c>
      <c r="B13" s="3" t="s">
        <v>43</v>
      </c>
      <c r="C13" s="11" t="s">
        <v>64</v>
      </c>
      <c r="D13" s="3" t="s">
        <v>16</v>
      </c>
      <c r="E13" s="21" t="s">
        <v>65</v>
      </c>
      <c r="F13" s="14">
        <v>1946</v>
      </c>
      <c r="G13" s="14">
        <v>686</v>
      </c>
      <c r="H13" s="14">
        <v>377</v>
      </c>
      <c r="I13" s="14">
        <v>23352</v>
      </c>
      <c r="J13" s="14">
        <v>22982</v>
      </c>
      <c r="K13" s="14">
        <v>213</v>
      </c>
      <c r="L13" s="4" t="s">
        <v>62</v>
      </c>
      <c r="M13" s="5" t="s">
        <v>31</v>
      </c>
      <c r="N13" s="17" t="s">
        <v>62</v>
      </c>
      <c r="Q13" s="25">
        <f>(F13+G13+H13)/I13</f>
        <v>0.12885405960945528</v>
      </c>
      <c r="R13" s="15">
        <f t="shared" si="0"/>
        <v>3009</v>
      </c>
      <c r="T13">
        <v>131</v>
      </c>
      <c r="U13" s="9" t="s">
        <v>30</v>
      </c>
      <c r="V13">
        <f>RANK(T13, T:T)</f>
        <v>193</v>
      </c>
      <c r="W13"/>
      <c r="X13">
        <v>3929</v>
      </c>
      <c r="Y13">
        <v>278</v>
      </c>
      <c r="Z13" s="9" t="s">
        <v>37</v>
      </c>
      <c r="AA13">
        <f>X13+Y13</f>
        <v>4207</v>
      </c>
    </row>
    <row r="14" spans="1:27" ht="14.4" x14ac:dyDescent="0.3">
      <c r="A14" s="3" t="s">
        <v>66</v>
      </c>
      <c r="B14" s="3" t="s">
        <v>27</v>
      </c>
      <c r="C14" s="11" t="s">
        <v>67</v>
      </c>
      <c r="D14" s="3" t="s">
        <v>45</v>
      </c>
      <c r="E14" s="21" t="s">
        <v>68</v>
      </c>
      <c r="F14" s="14">
        <v>1171</v>
      </c>
      <c r="G14" s="14">
        <v>286</v>
      </c>
      <c r="H14" s="14">
        <v>231</v>
      </c>
      <c r="I14" s="14">
        <v>22249</v>
      </c>
      <c r="J14" s="14">
        <v>21282</v>
      </c>
      <c r="K14" s="14">
        <v>114</v>
      </c>
      <c r="L14" s="4" t="s">
        <v>37</v>
      </c>
      <c r="M14" s="5" t="s">
        <v>19</v>
      </c>
      <c r="N14" s="17" t="s">
        <v>37</v>
      </c>
      <c r="Q14" s="25">
        <f>(F14+G14+H14)/I14</f>
        <v>7.5868578363072495E-2</v>
      </c>
      <c r="R14" s="15">
        <f t="shared" si="0"/>
        <v>1688</v>
      </c>
      <c r="T14">
        <v>167</v>
      </c>
      <c r="U14" s="9" t="s">
        <v>30</v>
      </c>
      <c r="V14">
        <f>RANK(T14, T:T)</f>
        <v>160</v>
      </c>
      <c r="W14"/>
      <c r="X14">
        <v>3784</v>
      </c>
      <c r="Y14">
        <v>404</v>
      </c>
      <c r="Z14" s="9" t="s">
        <v>30</v>
      </c>
      <c r="AA14">
        <f>X14+Y14</f>
        <v>4188</v>
      </c>
    </row>
    <row r="15" spans="1:27" ht="14.4" x14ac:dyDescent="0.3">
      <c r="A15" s="3" t="s">
        <v>69</v>
      </c>
      <c r="B15" s="3" t="s">
        <v>43</v>
      </c>
      <c r="C15" s="11" t="s">
        <v>70</v>
      </c>
      <c r="D15" s="3" t="s">
        <v>35</v>
      </c>
      <c r="E15" s="21" t="s">
        <v>71</v>
      </c>
      <c r="F15" s="14">
        <v>4242</v>
      </c>
      <c r="G15" s="14">
        <v>555</v>
      </c>
      <c r="H15" s="14">
        <v>131</v>
      </c>
      <c r="I15" s="14">
        <v>33936</v>
      </c>
      <c r="J15" s="14">
        <v>33802</v>
      </c>
      <c r="K15" s="14">
        <v>265</v>
      </c>
      <c r="L15" s="4" t="s">
        <v>62</v>
      </c>
      <c r="M15" s="5"/>
      <c r="N15" s="17" t="s">
        <v>62</v>
      </c>
      <c r="Q15" s="25">
        <f>(F15+G15+H15)/I15</f>
        <v>0.14521452145214522</v>
      </c>
      <c r="R15" s="15">
        <f t="shared" si="0"/>
        <v>4928</v>
      </c>
      <c r="T15">
        <v>65</v>
      </c>
      <c r="U15" s="9" t="s">
        <v>62</v>
      </c>
      <c r="V15">
        <f>RANK(T15, T:T)</f>
        <v>259</v>
      </c>
      <c r="W15"/>
      <c r="X15">
        <v>4241</v>
      </c>
      <c r="Y15">
        <v>47</v>
      </c>
      <c r="Z15" s="9" t="s">
        <v>30</v>
      </c>
      <c r="AA15">
        <f>X15+Y15</f>
        <v>4288</v>
      </c>
    </row>
    <row r="16" spans="1:27" ht="14.4" x14ac:dyDescent="0.3">
      <c r="A16" s="3" t="s">
        <v>72</v>
      </c>
      <c r="B16" s="3" t="s">
        <v>43</v>
      </c>
      <c r="C16" s="11" t="s">
        <v>73</v>
      </c>
      <c r="D16" s="3" t="s">
        <v>74</v>
      </c>
      <c r="E16" s="21" t="s">
        <v>75</v>
      </c>
      <c r="F16" s="14">
        <v>3888</v>
      </c>
      <c r="G16" s="14">
        <v>604</v>
      </c>
      <c r="H16" s="14">
        <v>128</v>
      </c>
      <c r="I16" s="14">
        <v>77760</v>
      </c>
      <c r="J16" s="14">
        <v>77167</v>
      </c>
      <c r="K16" s="14">
        <v>20</v>
      </c>
      <c r="L16" s="4" t="s">
        <v>62</v>
      </c>
      <c r="M16" s="5" t="s">
        <v>19</v>
      </c>
      <c r="N16" s="17" t="s">
        <v>62</v>
      </c>
      <c r="Q16" s="25">
        <f>(F16+G16+H16)/I16</f>
        <v>5.941358024691358E-2</v>
      </c>
      <c r="R16" s="15">
        <f t="shared" si="0"/>
        <v>4620</v>
      </c>
      <c r="T16">
        <v>213</v>
      </c>
      <c r="U16" s="9" t="s">
        <v>62</v>
      </c>
      <c r="V16">
        <f>RANK(T16, T:T)</f>
        <v>100</v>
      </c>
      <c r="W16"/>
      <c r="X16">
        <v>1792</v>
      </c>
      <c r="Y16">
        <v>497</v>
      </c>
      <c r="Z16" s="9" t="s">
        <v>62</v>
      </c>
      <c r="AA16">
        <f>X16+Y16</f>
        <v>2289</v>
      </c>
    </row>
    <row r="17" spans="1:27" ht="14.4" x14ac:dyDescent="0.3">
      <c r="A17" s="3" t="s">
        <v>76</v>
      </c>
      <c r="B17" s="3" t="s">
        <v>43</v>
      </c>
      <c r="C17" s="11" t="s">
        <v>77</v>
      </c>
      <c r="D17" s="3" t="s">
        <v>22</v>
      </c>
      <c r="E17" s="21" t="s">
        <v>56</v>
      </c>
      <c r="F17" s="14">
        <v>3452</v>
      </c>
      <c r="G17" s="14">
        <v>377</v>
      </c>
      <c r="H17" s="14">
        <v>360</v>
      </c>
      <c r="I17" s="14">
        <v>55232</v>
      </c>
      <c r="J17" s="14">
        <v>55075</v>
      </c>
      <c r="K17" s="14">
        <v>87</v>
      </c>
      <c r="L17" s="4" t="s">
        <v>62</v>
      </c>
      <c r="M17" s="5" t="s">
        <v>31</v>
      </c>
      <c r="N17" s="17" t="s">
        <v>62</v>
      </c>
      <c r="Q17" s="25">
        <f>(F17+G17+H17)/I17</f>
        <v>7.5843713789107758E-2</v>
      </c>
      <c r="R17" s="15">
        <f t="shared" si="0"/>
        <v>4189</v>
      </c>
      <c r="T17">
        <v>114</v>
      </c>
      <c r="U17" s="9" t="s">
        <v>37</v>
      </c>
      <c r="V17">
        <f>RANK(T17, T:T)</f>
        <v>217</v>
      </c>
      <c r="W17"/>
      <c r="X17">
        <v>1946</v>
      </c>
      <c r="Y17">
        <v>377</v>
      </c>
      <c r="Z17" s="9" t="s">
        <v>62</v>
      </c>
      <c r="AA17">
        <f>X17+Y17</f>
        <v>2323</v>
      </c>
    </row>
    <row r="18" spans="1:27" ht="14.4" x14ac:dyDescent="0.3">
      <c r="A18" s="3" t="s">
        <v>78</v>
      </c>
      <c r="B18" s="3" t="s">
        <v>43</v>
      </c>
      <c r="C18" s="11" t="s">
        <v>79</v>
      </c>
      <c r="D18" s="3" t="s">
        <v>22</v>
      </c>
      <c r="E18" s="21" t="s">
        <v>56</v>
      </c>
      <c r="F18" s="14">
        <v>4441</v>
      </c>
      <c r="G18" s="14">
        <v>511</v>
      </c>
      <c r="H18" s="14">
        <v>70</v>
      </c>
      <c r="I18" s="14">
        <v>53292</v>
      </c>
      <c r="J18" s="14">
        <v>53082</v>
      </c>
      <c r="K18" s="14">
        <v>159</v>
      </c>
      <c r="L18" s="4" t="s">
        <v>37</v>
      </c>
      <c r="M18" s="5" t="s">
        <v>38</v>
      </c>
      <c r="N18" s="17" t="s">
        <v>37</v>
      </c>
      <c r="Q18" s="25">
        <f>(F18+G18+H18)/I18</f>
        <v>9.4235532537716729E-2</v>
      </c>
      <c r="R18" s="15">
        <f t="shared" si="0"/>
        <v>5022</v>
      </c>
      <c r="T18">
        <v>265</v>
      </c>
      <c r="U18" s="9" t="s">
        <v>62</v>
      </c>
      <c r="V18">
        <f>RANK(T18, T:T)</f>
        <v>35</v>
      </c>
      <c r="W18"/>
      <c r="X18">
        <v>1171</v>
      </c>
      <c r="Y18">
        <v>231</v>
      </c>
      <c r="Z18" s="9" t="s">
        <v>37</v>
      </c>
      <c r="AA18">
        <f>X18+Y18</f>
        <v>1402</v>
      </c>
    </row>
    <row r="19" spans="1:27" ht="14.4" x14ac:dyDescent="0.3">
      <c r="A19" s="3" t="s">
        <v>80</v>
      </c>
      <c r="B19" s="3" t="s">
        <v>33</v>
      </c>
      <c r="C19" s="11" t="s">
        <v>81</v>
      </c>
      <c r="D19" s="3" t="s">
        <v>16</v>
      </c>
      <c r="E19" s="21" t="s">
        <v>82</v>
      </c>
      <c r="F19" s="14">
        <v>3000</v>
      </c>
      <c r="G19" s="14">
        <v>382</v>
      </c>
      <c r="H19" s="14">
        <v>325</v>
      </c>
      <c r="I19" s="14">
        <v>36000</v>
      </c>
      <c r="J19" s="14">
        <v>35819</v>
      </c>
      <c r="K19" s="14">
        <v>19</v>
      </c>
      <c r="L19" s="4" t="s">
        <v>62</v>
      </c>
      <c r="M19" s="5" t="s">
        <v>19</v>
      </c>
      <c r="N19" s="17" t="s">
        <v>62</v>
      </c>
      <c r="Q19" s="25">
        <f>(F19+G19+H19)/I19</f>
        <v>0.10297222222222223</v>
      </c>
      <c r="R19" s="15">
        <f t="shared" si="0"/>
        <v>3707</v>
      </c>
      <c r="T19">
        <v>20</v>
      </c>
      <c r="U19" s="9" t="s">
        <v>62</v>
      </c>
      <c r="V19">
        <f>RANK(T19, T:T)</f>
        <v>316</v>
      </c>
      <c r="W19"/>
      <c r="X19">
        <v>4242</v>
      </c>
      <c r="Y19">
        <v>131</v>
      </c>
      <c r="Z19" s="9" t="s">
        <v>62</v>
      </c>
      <c r="AA19">
        <f>X19+Y19</f>
        <v>4373</v>
      </c>
    </row>
    <row r="20" spans="1:27" ht="14.4" x14ac:dyDescent="0.3">
      <c r="A20" s="3" t="s">
        <v>83</v>
      </c>
      <c r="B20" s="3" t="s">
        <v>33</v>
      </c>
      <c r="C20" s="11" t="s">
        <v>84</v>
      </c>
      <c r="D20" s="3" t="s">
        <v>74</v>
      </c>
      <c r="E20" s="21" t="s">
        <v>85</v>
      </c>
      <c r="F20" s="14">
        <v>1071</v>
      </c>
      <c r="G20" s="14">
        <v>519</v>
      </c>
      <c r="H20" s="14">
        <v>22</v>
      </c>
      <c r="I20" s="14">
        <v>16065</v>
      </c>
      <c r="J20" s="14">
        <v>15865</v>
      </c>
      <c r="K20" s="14">
        <v>103</v>
      </c>
      <c r="L20" s="4" t="s">
        <v>30</v>
      </c>
      <c r="M20" s="5" t="s">
        <v>38</v>
      </c>
      <c r="N20" s="17" t="s">
        <v>30</v>
      </c>
      <c r="Q20" s="25">
        <f>(F20+G20+H20)/I20</f>
        <v>0.10034235916588857</v>
      </c>
      <c r="R20" s="15">
        <f t="shared" si="0"/>
        <v>1612</v>
      </c>
      <c r="T20">
        <v>87</v>
      </c>
      <c r="U20" s="9" t="s">
        <v>62</v>
      </c>
      <c r="V20">
        <f>RANK(T20, T:T)</f>
        <v>240</v>
      </c>
      <c r="W20"/>
      <c r="X20">
        <v>3888</v>
      </c>
      <c r="Y20">
        <v>128</v>
      </c>
      <c r="Z20" s="9" t="s">
        <v>62</v>
      </c>
      <c r="AA20">
        <f>X20+Y20</f>
        <v>4016</v>
      </c>
    </row>
    <row r="21" spans="1:27" ht="14.4" x14ac:dyDescent="0.3">
      <c r="A21" s="3" t="s">
        <v>86</v>
      </c>
      <c r="B21" s="3" t="s">
        <v>33</v>
      </c>
      <c r="C21" s="11" t="s">
        <v>87</v>
      </c>
      <c r="D21" s="3" t="s">
        <v>45</v>
      </c>
      <c r="E21" s="21" t="s">
        <v>88</v>
      </c>
      <c r="F21" s="14">
        <v>4054</v>
      </c>
      <c r="G21" s="14">
        <v>488</v>
      </c>
      <c r="H21" s="14">
        <v>373</v>
      </c>
      <c r="I21" s="14">
        <v>77026</v>
      </c>
      <c r="J21" s="14">
        <v>76881</v>
      </c>
      <c r="K21" s="14">
        <v>25</v>
      </c>
      <c r="L21" s="4" t="s">
        <v>30</v>
      </c>
      <c r="M21" s="5" t="s">
        <v>19</v>
      </c>
      <c r="N21" s="17" t="s">
        <v>30</v>
      </c>
      <c r="Q21" s="25">
        <f>(F21+G21+H21)/I21</f>
        <v>6.3809622724794221E-2</v>
      </c>
      <c r="R21" s="15">
        <f t="shared" si="0"/>
        <v>4915</v>
      </c>
      <c r="T21">
        <v>159</v>
      </c>
      <c r="U21" s="9" t="s">
        <v>37</v>
      </c>
      <c r="V21">
        <f>RANK(T21, T:T)</f>
        <v>166</v>
      </c>
      <c r="W21"/>
      <c r="X21">
        <v>3452</v>
      </c>
      <c r="Y21">
        <v>360</v>
      </c>
      <c r="Z21" s="9" t="s">
        <v>62</v>
      </c>
      <c r="AA21">
        <f>X21+Y21</f>
        <v>3812</v>
      </c>
    </row>
    <row r="22" spans="1:27" ht="14.4" x14ac:dyDescent="0.3">
      <c r="A22" s="3" t="s">
        <v>89</v>
      </c>
      <c r="B22" s="3" t="s">
        <v>33</v>
      </c>
      <c r="C22" s="11" t="s">
        <v>90</v>
      </c>
      <c r="D22" s="3" t="s">
        <v>16</v>
      </c>
      <c r="E22" s="21" t="s">
        <v>82</v>
      </c>
      <c r="F22" s="14">
        <v>4838</v>
      </c>
      <c r="G22" s="14">
        <v>640</v>
      </c>
      <c r="H22" s="14">
        <v>128</v>
      </c>
      <c r="I22" s="14">
        <v>72570</v>
      </c>
      <c r="J22" s="14">
        <v>72396</v>
      </c>
      <c r="K22" s="14">
        <v>83</v>
      </c>
      <c r="L22" s="4" t="s">
        <v>62</v>
      </c>
      <c r="M22" s="5" t="s">
        <v>38</v>
      </c>
      <c r="N22" s="17" t="s">
        <v>62</v>
      </c>
      <c r="Q22" s="25">
        <f>(F22+G22+H22)/I22</f>
        <v>7.7249552156538517E-2</v>
      </c>
      <c r="R22" s="15">
        <f t="shared" si="0"/>
        <v>5606</v>
      </c>
      <c r="T22">
        <v>19</v>
      </c>
      <c r="U22" s="9" t="s">
        <v>62</v>
      </c>
      <c r="V22">
        <f>RANK(T22, T:T)</f>
        <v>319</v>
      </c>
      <c r="W22"/>
      <c r="X22">
        <v>4441</v>
      </c>
      <c r="Y22">
        <v>70</v>
      </c>
      <c r="Z22" s="9" t="s">
        <v>37</v>
      </c>
      <c r="AA22">
        <f>X22+Y22</f>
        <v>4511</v>
      </c>
    </row>
    <row r="23" spans="1:27" ht="14.4" x14ac:dyDescent="0.3">
      <c r="A23" s="3" t="s">
        <v>91</v>
      </c>
      <c r="B23" s="3" t="s">
        <v>43</v>
      </c>
      <c r="C23" s="11" t="s">
        <v>92</v>
      </c>
      <c r="D23" s="3" t="s">
        <v>22</v>
      </c>
      <c r="E23" s="21" t="s">
        <v>56</v>
      </c>
      <c r="F23" s="14">
        <v>1570</v>
      </c>
      <c r="G23" s="14">
        <v>187</v>
      </c>
      <c r="H23" s="14">
        <v>260</v>
      </c>
      <c r="I23" s="14">
        <v>25120</v>
      </c>
      <c r="J23" s="14">
        <v>24613</v>
      </c>
      <c r="K23" s="14">
        <v>133</v>
      </c>
      <c r="L23" s="4" t="s">
        <v>30</v>
      </c>
      <c r="M23" s="5" t="s">
        <v>38</v>
      </c>
      <c r="N23" s="17" t="s">
        <v>30</v>
      </c>
      <c r="Q23" s="25">
        <f>(F23+G23+H23)/I23</f>
        <v>8.0294585987261149E-2</v>
      </c>
      <c r="R23" s="15">
        <f t="shared" si="0"/>
        <v>2017</v>
      </c>
      <c r="T23">
        <v>103</v>
      </c>
      <c r="U23" s="9" t="s">
        <v>30</v>
      </c>
      <c r="V23">
        <f>RANK(T23, T:T)</f>
        <v>226</v>
      </c>
      <c r="W23"/>
      <c r="X23">
        <v>3000</v>
      </c>
      <c r="Y23">
        <v>325</v>
      </c>
      <c r="Z23" s="9" t="s">
        <v>62</v>
      </c>
      <c r="AA23">
        <f>X23+Y23</f>
        <v>3325</v>
      </c>
    </row>
    <row r="24" spans="1:27" ht="14.4" x14ac:dyDescent="0.3">
      <c r="A24" s="3" t="s">
        <v>93</v>
      </c>
      <c r="B24" s="3" t="s">
        <v>43</v>
      </c>
      <c r="C24" s="11" t="s">
        <v>94</v>
      </c>
      <c r="D24" s="3" t="s">
        <v>74</v>
      </c>
      <c r="E24" s="21" t="s">
        <v>75</v>
      </c>
      <c r="F24" s="14">
        <v>1606</v>
      </c>
      <c r="G24" s="14">
        <v>547</v>
      </c>
      <c r="H24" s="14">
        <v>316</v>
      </c>
      <c r="I24" s="14">
        <v>32120</v>
      </c>
      <c r="J24" s="14">
        <v>31736</v>
      </c>
      <c r="K24" s="14">
        <v>225</v>
      </c>
      <c r="L24" s="4" t="s">
        <v>95</v>
      </c>
      <c r="M24" s="5" t="s">
        <v>25</v>
      </c>
      <c r="N24" s="17" t="s">
        <v>30</v>
      </c>
      <c r="O24" s="17" t="s">
        <v>593</v>
      </c>
      <c r="Q24" s="25">
        <f>(F24+G24+H24)/I24</f>
        <v>7.6867995018679955E-2</v>
      </c>
      <c r="R24" s="15">
        <f t="shared" si="0"/>
        <v>2469</v>
      </c>
      <c r="T24">
        <v>25</v>
      </c>
      <c r="U24" s="9" t="s">
        <v>30</v>
      </c>
      <c r="V24">
        <f>RANK(T24, T:T)</f>
        <v>304</v>
      </c>
      <c r="W24"/>
      <c r="X24">
        <v>1071</v>
      </c>
      <c r="Y24">
        <v>22</v>
      </c>
      <c r="Z24" s="9" t="s">
        <v>30</v>
      </c>
      <c r="AA24">
        <f>X24+Y24</f>
        <v>1093</v>
      </c>
    </row>
    <row r="25" spans="1:27" ht="14.4" x14ac:dyDescent="0.3">
      <c r="A25" s="3" t="s">
        <v>96</v>
      </c>
      <c r="B25" s="3" t="s">
        <v>43</v>
      </c>
      <c r="C25" s="11" t="s">
        <v>97</v>
      </c>
      <c r="D25" s="3" t="s">
        <v>74</v>
      </c>
      <c r="E25" s="21" t="s">
        <v>75</v>
      </c>
      <c r="F25" s="14">
        <v>3961</v>
      </c>
      <c r="G25" s="14">
        <v>761</v>
      </c>
      <c r="H25" s="14">
        <v>131</v>
      </c>
      <c r="I25" s="14">
        <v>67337</v>
      </c>
      <c r="J25" s="14">
        <v>66615</v>
      </c>
      <c r="K25" s="14">
        <v>161</v>
      </c>
      <c r="L25" s="4" t="s">
        <v>62</v>
      </c>
      <c r="M25" s="5" t="s">
        <v>31</v>
      </c>
      <c r="N25" s="17" t="s">
        <v>62</v>
      </c>
      <c r="Q25" s="25">
        <f>(F25+G25+H25)/I25</f>
        <v>7.2070332803659209E-2</v>
      </c>
      <c r="R25" s="15">
        <f t="shared" si="0"/>
        <v>4853</v>
      </c>
      <c r="T25">
        <v>83</v>
      </c>
      <c r="U25" s="9" t="s">
        <v>62</v>
      </c>
      <c r="V25">
        <f>RANK(T25, T:T)</f>
        <v>248</v>
      </c>
      <c r="W25"/>
      <c r="X25">
        <v>4054</v>
      </c>
      <c r="Y25">
        <v>373</v>
      </c>
      <c r="Z25" s="9" t="s">
        <v>30</v>
      </c>
      <c r="AA25">
        <f>X25+Y25</f>
        <v>4427</v>
      </c>
    </row>
    <row r="26" spans="1:27" ht="14.4" x14ac:dyDescent="0.3">
      <c r="A26" s="3" t="s">
        <v>98</v>
      </c>
      <c r="B26" s="3" t="s">
        <v>14</v>
      </c>
      <c r="C26" s="11" t="s">
        <v>99</v>
      </c>
      <c r="D26" s="3" t="s">
        <v>45</v>
      </c>
      <c r="E26" s="21" t="s">
        <v>49</v>
      </c>
      <c r="F26" s="14">
        <v>3128</v>
      </c>
      <c r="G26" s="14">
        <v>211</v>
      </c>
      <c r="H26" s="14">
        <v>197</v>
      </c>
      <c r="I26" s="14">
        <v>59432</v>
      </c>
      <c r="J26" s="14">
        <v>59182</v>
      </c>
      <c r="K26" s="14">
        <v>238</v>
      </c>
      <c r="L26" s="4" t="s">
        <v>37</v>
      </c>
      <c r="M26" s="5"/>
      <c r="N26" s="17" t="s">
        <v>37</v>
      </c>
      <c r="Q26" s="25">
        <f>(F26+G26+H26)/I26</f>
        <v>5.9496567505720827E-2</v>
      </c>
      <c r="R26" s="15">
        <f t="shared" si="0"/>
        <v>3536</v>
      </c>
      <c r="T26">
        <v>133</v>
      </c>
      <c r="U26" s="9" t="s">
        <v>30</v>
      </c>
      <c r="V26">
        <f>RANK(T26, T:T)</f>
        <v>191</v>
      </c>
      <c r="W26"/>
      <c r="X26">
        <v>4838</v>
      </c>
      <c r="Y26">
        <v>128</v>
      </c>
      <c r="Z26" s="9" t="s">
        <v>62</v>
      </c>
      <c r="AA26">
        <f>X26+Y26</f>
        <v>4966</v>
      </c>
    </row>
    <row r="27" spans="1:27" ht="14.4" x14ac:dyDescent="0.3">
      <c r="A27" s="3" t="s">
        <v>100</v>
      </c>
      <c r="B27" s="3" t="s">
        <v>27</v>
      </c>
      <c r="C27" s="11" t="s">
        <v>101</v>
      </c>
      <c r="D27" s="3" t="s">
        <v>16</v>
      </c>
      <c r="E27" s="21" t="s">
        <v>29</v>
      </c>
      <c r="F27" s="14">
        <v>3009</v>
      </c>
      <c r="G27" s="14">
        <v>413</v>
      </c>
      <c r="H27" s="14">
        <v>358</v>
      </c>
      <c r="I27" s="14">
        <v>42126</v>
      </c>
      <c r="J27" s="14">
        <v>41309</v>
      </c>
      <c r="K27" s="14">
        <v>211</v>
      </c>
      <c r="L27" s="4" t="s">
        <v>62</v>
      </c>
      <c r="M27" s="5" t="s">
        <v>25</v>
      </c>
      <c r="N27" s="17" t="s">
        <v>62</v>
      </c>
      <c r="Q27" s="25">
        <f>(F27+G27+H27)/I27</f>
        <v>8.9730807577268201E-2</v>
      </c>
      <c r="R27" s="15">
        <f t="shared" si="0"/>
        <v>3780</v>
      </c>
      <c r="T27">
        <v>225</v>
      </c>
      <c r="U27" s="9" t="s">
        <v>30</v>
      </c>
      <c r="V27">
        <f>RANK(T27, T:T)</f>
        <v>85</v>
      </c>
      <c r="W27"/>
      <c r="X27">
        <v>1570</v>
      </c>
      <c r="Y27">
        <v>260</v>
      </c>
      <c r="Z27" s="9" t="s">
        <v>30</v>
      </c>
      <c r="AA27">
        <f>X27+Y27</f>
        <v>1830</v>
      </c>
    </row>
    <row r="28" spans="1:27" ht="14.4" x14ac:dyDescent="0.3">
      <c r="A28" s="3" t="s">
        <v>102</v>
      </c>
      <c r="B28" s="3" t="s">
        <v>27</v>
      </c>
      <c r="C28" s="11" t="s">
        <v>103</v>
      </c>
      <c r="D28" s="3" t="s">
        <v>22</v>
      </c>
      <c r="E28" s="21" t="s">
        <v>104</v>
      </c>
      <c r="F28" s="14">
        <v>2076</v>
      </c>
      <c r="G28" s="14">
        <v>195</v>
      </c>
      <c r="H28" s="14">
        <v>104</v>
      </c>
      <c r="I28" s="14">
        <v>33216</v>
      </c>
      <c r="J28" s="14">
        <v>32244</v>
      </c>
      <c r="K28" s="14">
        <v>51</v>
      </c>
      <c r="L28" s="4" t="s">
        <v>62</v>
      </c>
      <c r="M28" s="5" t="s">
        <v>38</v>
      </c>
      <c r="N28" s="17" t="s">
        <v>62</v>
      </c>
      <c r="Q28" s="25">
        <f>(F28+G28+H28)/I28</f>
        <v>7.1501685934489398E-2</v>
      </c>
      <c r="R28" s="15">
        <f t="shared" si="0"/>
        <v>2375</v>
      </c>
      <c r="T28">
        <v>225</v>
      </c>
      <c r="U28" s="9" t="s">
        <v>593</v>
      </c>
      <c r="V28">
        <f>RANK(T28, T:T)</f>
        <v>85</v>
      </c>
      <c r="W28"/>
      <c r="X28">
        <v>1606</v>
      </c>
      <c r="Y28">
        <v>316</v>
      </c>
      <c r="Z28" s="9" t="s">
        <v>30</v>
      </c>
      <c r="AA28">
        <f>X28+Y28</f>
        <v>1922</v>
      </c>
    </row>
    <row r="29" spans="1:27" ht="14.4" x14ac:dyDescent="0.3">
      <c r="A29" s="3" t="s">
        <v>105</v>
      </c>
      <c r="B29" s="3" t="s">
        <v>33</v>
      </c>
      <c r="C29" s="11" t="s">
        <v>106</v>
      </c>
      <c r="D29" s="3" t="s">
        <v>74</v>
      </c>
      <c r="E29" s="21" t="s">
        <v>85</v>
      </c>
      <c r="F29" s="14">
        <v>432</v>
      </c>
      <c r="G29" s="14">
        <v>624</v>
      </c>
      <c r="H29" s="14">
        <v>123</v>
      </c>
      <c r="I29" s="14">
        <v>6912</v>
      </c>
      <c r="J29" s="14">
        <v>6259</v>
      </c>
      <c r="K29" s="14">
        <v>79</v>
      </c>
      <c r="L29" s="4" t="s">
        <v>62</v>
      </c>
      <c r="M29" s="5" t="s">
        <v>38</v>
      </c>
      <c r="N29" s="17" t="s">
        <v>62</v>
      </c>
      <c r="Q29" s="25">
        <f>(F29+G29+H29)/I29</f>
        <v>0.17057291666666666</v>
      </c>
      <c r="R29" s="15">
        <f t="shared" si="0"/>
        <v>1179</v>
      </c>
      <c r="T29">
        <v>161</v>
      </c>
      <c r="U29" s="9" t="s">
        <v>62</v>
      </c>
      <c r="V29">
        <f>RANK(T29, T:T)</f>
        <v>164</v>
      </c>
      <c r="W29"/>
      <c r="X29">
        <v>1606</v>
      </c>
      <c r="Y29">
        <v>316</v>
      </c>
      <c r="Z29" s="9" t="s">
        <v>593</v>
      </c>
      <c r="AA29">
        <f>X29+Y29</f>
        <v>1922</v>
      </c>
    </row>
    <row r="30" spans="1:27" ht="14.4" x14ac:dyDescent="0.3">
      <c r="A30" s="3" t="s">
        <v>107</v>
      </c>
      <c r="B30" s="3" t="s">
        <v>33</v>
      </c>
      <c r="C30" s="11" t="s">
        <v>108</v>
      </c>
      <c r="D30" s="3" t="s">
        <v>45</v>
      </c>
      <c r="E30" s="21" t="s">
        <v>88</v>
      </c>
      <c r="F30" s="14">
        <v>2566</v>
      </c>
      <c r="G30" s="14">
        <v>118</v>
      </c>
      <c r="H30" s="14">
        <v>37</v>
      </c>
      <c r="I30" s="14">
        <v>12830</v>
      </c>
      <c r="J30" s="14">
        <v>12264</v>
      </c>
      <c r="K30" s="14">
        <v>221</v>
      </c>
      <c r="L30" s="4" t="s">
        <v>62</v>
      </c>
      <c r="M30" s="5" t="s">
        <v>31</v>
      </c>
      <c r="N30" s="17" t="s">
        <v>62</v>
      </c>
      <c r="Q30" s="25">
        <f>(F30+G30+H30)/I30</f>
        <v>0.21208106001558846</v>
      </c>
      <c r="R30" s="15">
        <f t="shared" si="0"/>
        <v>2721</v>
      </c>
      <c r="T30">
        <v>238</v>
      </c>
      <c r="U30" s="9" t="s">
        <v>37</v>
      </c>
      <c r="V30">
        <f>RANK(T30, T:T)</f>
        <v>63</v>
      </c>
      <c r="W30"/>
      <c r="X30">
        <v>3961</v>
      </c>
      <c r="Y30">
        <v>131</v>
      </c>
      <c r="Z30" s="9" t="s">
        <v>62</v>
      </c>
      <c r="AA30">
        <f>X30+Y30</f>
        <v>4092</v>
      </c>
    </row>
    <row r="31" spans="1:27" ht="14.4" x14ac:dyDescent="0.3">
      <c r="A31" s="3" t="s">
        <v>109</v>
      </c>
      <c r="B31" s="3" t="s">
        <v>33</v>
      </c>
      <c r="C31" s="11" t="s">
        <v>110</v>
      </c>
      <c r="D31" s="3" t="s">
        <v>74</v>
      </c>
      <c r="E31" s="21" t="s">
        <v>85</v>
      </c>
      <c r="F31" s="14">
        <v>3095</v>
      </c>
      <c r="G31" s="14">
        <v>39</v>
      </c>
      <c r="H31" s="14">
        <v>78</v>
      </c>
      <c r="I31" s="14">
        <v>55710</v>
      </c>
      <c r="J31" s="14">
        <v>54808</v>
      </c>
      <c r="K31" s="14">
        <v>93</v>
      </c>
      <c r="L31" s="4" t="s">
        <v>37</v>
      </c>
      <c r="M31" s="5"/>
      <c r="N31" s="17" t="s">
        <v>37</v>
      </c>
      <c r="Q31" s="25">
        <f>(F31+G31+H31)/I31</f>
        <v>5.7655717106444085E-2</v>
      </c>
      <c r="R31" s="15">
        <f t="shared" si="0"/>
        <v>3212</v>
      </c>
      <c r="T31">
        <v>211</v>
      </c>
      <c r="U31" s="9" t="s">
        <v>62</v>
      </c>
      <c r="V31">
        <f>RANK(T31, T:T)</f>
        <v>104</v>
      </c>
      <c r="W31"/>
      <c r="X31">
        <v>3128</v>
      </c>
      <c r="Y31">
        <v>197</v>
      </c>
      <c r="Z31" s="9" t="s">
        <v>37</v>
      </c>
      <c r="AA31">
        <f>X31+Y31</f>
        <v>3325</v>
      </c>
    </row>
    <row r="32" spans="1:27" ht="14.4" x14ac:dyDescent="0.3">
      <c r="A32" s="3" t="s">
        <v>111</v>
      </c>
      <c r="B32" s="3" t="s">
        <v>33</v>
      </c>
      <c r="C32" s="11" t="s">
        <v>112</v>
      </c>
      <c r="D32" s="3" t="s">
        <v>22</v>
      </c>
      <c r="E32" s="21" t="s">
        <v>113</v>
      </c>
      <c r="F32" s="14">
        <v>438</v>
      </c>
      <c r="G32" s="14">
        <v>153</v>
      </c>
      <c r="H32" s="14">
        <v>275</v>
      </c>
      <c r="I32" s="14">
        <v>3066</v>
      </c>
      <c r="J32" s="14">
        <v>2701</v>
      </c>
      <c r="K32" s="14">
        <v>282</v>
      </c>
      <c r="L32" s="4" t="s">
        <v>30</v>
      </c>
      <c r="M32" s="5" t="s">
        <v>25</v>
      </c>
      <c r="N32" s="17" t="s">
        <v>30</v>
      </c>
      <c r="Q32" s="25">
        <f>(F32+G32+H32)/I32</f>
        <v>0.28245270711024134</v>
      </c>
      <c r="R32" s="15">
        <f t="shared" si="0"/>
        <v>866</v>
      </c>
      <c r="T32">
        <v>51</v>
      </c>
      <c r="U32" s="9" t="s">
        <v>62</v>
      </c>
      <c r="V32">
        <f>RANK(T32, T:T)</f>
        <v>275</v>
      </c>
      <c r="W32"/>
      <c r="X32">
        <v>3009</v>
      </c>
      <c r="Y32">
        <v>358</v>
      </c>
      <c r="Z32" s="9" t="s">
        <v>62</v>
      </c>
      <c r="AA32">
        <f>X32+Y32</f>
        <v>3367</v>
      </c>
    </row>
    <row r="33" spans="1:27" ht="14.4" x14ac:dyDescent="0.3">
      <c r="A33" s="3" t="s">
        <v>114</v>
      </c>
      <c r="B33" s="3" t="s">
        <v>14</v>
      </c>
      <c r="C33" s="11" t="s">
        <v>115</v>
      </c>
      <c r="D33" s="3" t="s">
        <v>45</v>
      </c>
      <c r="E33" s="21" t="s">
        <v>49</v>
      </c>
      <c r="F33" s="14">
        <v>2278</v>
      </c>
      <c r="G33" s="14">
        <v>10</v>
      </c>
      <c r="H33" s="14">
        <v>321</v>
      </c>
      <c r="I33" s="14">
        <v>13668</v>
      </c>
      <c r="J33" s="14">
        <v>12676</v>
      </c>
      <c r="K33" s="14">
        <v>275</v>
      </c>
      <c r="L33" s="4" t="s">
        <v>37</v>
      </c>
      <c r="M33" s="5" t="s">
        <v>19</v>
      </c>
      <c r="N33" s="17" t="s">
        <v>37</v>
      </c>
      <c r="Q33" s="25">
        <f>(F33+G33+H33)/I33</f>
        <v>0.19088381621305239</v>
      </c>
      <c r="R33" s="15">
        <f t="shared" si="0"/>
        <v>2609</v>
      </c>
      <c r="T33">
        <v>79</v>
      </c>
      <c r="U33" s="9" t="s">
        <v>62</v>
      </c>
      <c r="V33">
        <f>RANK(T33, T:T)</f>
        <v>251</v>
      </c>
      <c r="W33"/>
      <c r="X33">
        <v>2076</v>
      </c>
      <c r="Y33">
        <v>104</v>
      </c>
      <c r="Z33" s="9" t="s">
        <v>62</v>
      </c>
      <c r="AA33">
        <f>X33+Y33</f>
        <v>2180</v>
      </c>
    </row>
    <row r="34" spans="1:27" ht="14.4" x14ac:dyDescent="0.3">
      <c r="A34" s="3" t="s">
        <v>116</v>
      </c>
      <c r="B34" s="3" t="s">
        <v>43</v>
      </c>
      <c r="C34" s="11" t="s">
        <v>117</v>
      </c>
      <c r="D34" s="3" t="s">
        <v>52</v>
      </c>
      <c r="E34" s="21" t="s">
        <v>59</v>
      </c>
      <c r="F34" s="14">
        <v>1407</v>
      </c>
      <c r="G34" s="14">
        <v>400</v>
      </c>
      <c r="H34" s="14">
        <v>351</v>
      </c>
      <c r="I34" s="14">
        <v>16884</v>
      </c>
      <c r="J34" s="14">
        <v>15954</v>
      </c>
      <c r="K34" s="14">
        <v>113</v>
      </c>
      <c r="L34" s="4" t="s">
        <v>30</v>
      </c>
      <c r="M34" s="5" t="s">
        <v>19</v>
      </c>
      <c r="N34" s="17" t="s">
        <v>30</v>
      </c>
      <c r="Q34" s="25">
        <f>(F34+G34+H34)/I34</f>
        <v>0.12781331438047855</v>
      </c>
      <c r="R34" s="15">
        <f t="shared" si="0"/>
        <v>2158</v>
      </c>
      <c r="T34">
        <v>221</v>
      </c>
      <c r="U34" s="9" t="s">
        <v>62</v>
      </c>
      <c r="V34">
        <f>RANK(T34, T:T)</f>
        <v>93</v>
      </c>
      <c r="W34"/>
      <c r="X34">
        <v>432</v>
      </c>
      <c r="Y34">
        <v>123</v>
      </c>
      <c r="Z34" s="9" t="s">
        <v>62</v>
      </c>
      <c r="AA34">
        <f>X34+Y34</f>
        <v>555</v>
      </c>
    </row>
    <row r="35" spans="1:27" ht="14.4" x14ac:dyDescent="0.3">
      <c r="A35" s="3" t="s">
        <v>118</v>
      </c>
      <c r="B35" s="3" t="s">
        <v>43</v>
      </c>
      <c r="C35" s="11" t="s">
        <v>119</v>
      </c>
      <c r="D35" s="3" t="s">
        <v>22</v>
      </c>
      <c r="E35" s="21" t="s">
        <v>56</v>
      </c>
      <c r="F35" s="14">
        <v>1652</v>
      </c>
      <c r="G35" s="14">
        <v>89</v>
      </c>
      <c r="H35" s="14">
        <v>357</v>
      </c>
      <c r="I35" s="14">
        <v>29736</v>
      </c>
      <c r="J35" s="14">
        <v>28771</v>
      </c>
      <c r="K35" s="14">
        <v>215</v>
      </c>
      <c r="L35" s="4" t="s">
        <v>30</v>
      </c>
      <c r="M35" s="5" t="s">
        <v>31</v>
      </c>
      <c r="N35" s="17" t="s">
        <v>30</v>
      </c>
      <c r="Q35" s="25">
        <f>(F35+G35+H35)/I35</f>
        <v>7.055421038471886E-2</v>
      </c>
      <c r="R35" s="15">
        <f t="shared" si="0"/>
        <v>2098</v>
      </c>
      <c r="T35">
        <v>93</v>
      </c>
      <c r="U35" s="9" t="s">
        <v>37</v>
      </c>
      <c r="V35">
        <f>RANK(T35, T:T)</f>
        <v>232</v>
      </c>
      <c r="W35"/>
      <c r="X35">
        <v>2566</v>
      </c>
      <c r="Y35">
        <v>37</v>
      </c>
      <c r="Z35" s="9" t="s">
        <v>62</v>
      </c>
      <c r="AA35">
        <f>X35+Y35</f>
        <v>2603</v>
      </c>
    </row>
    <row r="36" spans="1:27" ht="14.4" x14ac:dyDescent="0.3">
      <c r="A36" s="3" t="s">
        <v>120</v>
      </c>
      <c r="B36" s="3" t="s">
        <v>33</v>
      </c>
      <c r="C36" s="11" t="s">
        <v>121</v>
      </c>
      <c r="D36" s="3" t="s">
        <v>74</v>
      </c>
      <c r="E36" s="21" t="s">
        <v>85</v>
      </c>
      <c r="F36" s="14">
        <v>3775</v>
      </c>
      <c r="G36" s="14">
        <v>16</v>
      </c>
      <c r="H36" s="14">
        <v>239</v>
      </c>
      <c r="I36" s="14">
        <v>33975</v>
      </c>
      <c r="J36" s="14">
        <v>33310</v>
      </c>
      <c r="K36" s="14">
        <v>271</v>
      </c>
      <c r="L36" s="4" t="s">
        <v>62</v>
      </c>
      <c r="M36" s="5" t="s">
        <v>25</v>
      </c>
      <c r="N36" s="17" t="s">
        <v>62</v>
      </c>
      <c r="Q36" s="25">
        <f>(F36+G36+H36)/I36</f>
        <v>0.11861662987490802</v>
      </c>
      <c r="R36" s="15">
        <f t="shared" si="0"/>
        <v>4030</v>
      </c>
      <c r="T36">
        <v>282</v>
      </c>
      <c r="U36" s="9" t="s">
        <v>30</v>
      </c>
      <c r="V36">
        <f>RANK(T36, T:T)</f>
        <v>15</v>
      </c>
      <c r="W36"/>
      <c r="X36">
        <v>3095</v>
      </c>
      <c r="Y36">
        <v>78</v>
      </c>
      <c r="Z36" s="9" t="s">
        <v>37</v>
      </c>
      <c r="AA36">
        <f>X36+Y36</f>
        <v>3173</v>
      </c>
    </row>
    <row r="37" spans="1:27" ht="14.4" x14ac:dyDescent="0.3">
      <c r="A37" s="3" t="s">
        <v>122</v>
      </c>
      <c r="B37" s="3" t="s">
        <v>33</v>
      </c>
      <c r="C37" s="11" t="s">
        <v>123</v>
      </c>
      <c r="D37" s="3" t="s">
        <v>35</v>
      </c>
      <c r="E37" s="21" t="s">
        <v>36</v>
      </c>
      <c r="F37" s="14">
        <v>4518</v>
      </c>
      <c r="G37" s="14">
        <v>285</v>
      </c>
      <c r="H37" s="14">
        <v>383</v>
      </c>
      <c r="I37" s="14">
        <v>67770</v>
      </c>
      <c r="J37" s="14">
        <v>67621</v>
      </c>
      <c r="K37" s="14">
        <v>31</v>
      </c>
      <c r="L37" s="4" t="s">
        <v>37</v>
      </c>
      <c r="M37" s="5" t="s">
        <v>25</v>
      </c>
      <c r="N37" s="17" t="s">
        <v>37</v>
      </c>
      <c r="Q37" s="25">
        <f>(F37+G37+H37)/I37</f>
        <v>7.6523535487678915E-2</v>
      </c>
      <c r="R37" s="15">
        <f t="shared" si="0"/>
        <v>5186</v>
      </c>
      <c r="T37">
        <v>275</v>
      </c>
      <c r="U37" s="9" t="s">
        <v>37</v>
      </c>
      <c r="V37">
        <f>RANK(T37, T:T)</f>
        <v>25</v>
      </c>
      <c r="W37"/>
      <c r="X37">
        <v>438</v>
      </c>
      <c r="Y37">
        <v>275</v>
      </c>
      <c r="Z37" s="9" t="s">
        <v>30</v>
      </c>
      <c r="AA37">
        <f>X37+Y37</f>
        <v>713</v>
      </c>
    </row>
    <row r="38" spans="1:27" ht="14.4" x14ac:dyDescent="0.3">
      <c r="A38" s="3" t="s">
        <v>124</v>
      </c>
      <c r="B38" s="3" t="s">
        <v>43</v>
      </c>
      <c r="C38" s="11" t="s">
        <v>125</v>
      </c>
      <c r="D38" s="3" t="s">
        <v>45</v>
      </c>
      <c r="E38" s="21" t="s">
        <v>46</v>
      </c>
      <c r="F38" s="14">
        <v>3024</v>
      </c>
      <c r="G38" s="14">
        <v>925</v>
      </c>
      <c r="H38" s="14">
        <v>350</v>
      </c>
      <c r="I38" s="14">
        <v>24192</v>
      </c>
      <c r="J38" s="14">
        <v>23518</v>
      </c>
      <c r="K38" s="14">
        <v>36</v>
      </c>
      <c r="L38" s="4" t="s">
        <v>37</v>
      </c>
      <c r="M38" s="5" t="s">
        <v>25</v>
      </c>
      <c r="N38" s="17" t="s">
        <v>37</v>
      </c>
      <c r="Q38" s="25">
        <f>(F38+G38+H38)/I38</f>
        <v>0.17770337301587302</v>
      </c>
      <c r="R38" s="15">
        <f t="shared" si="0"/>
        <v>4299</v>
      </c>
      <c r="T38">
        <v>113</v>
      </c>
      <c r="U38" s="9" t="s">
        <v>30</v>
      </c>
      <c r="V38">
        <f>RANK(T38, T:T)</f>
        <v>219</v>
      </c>
      <c r="W38"/>
      <c r="X38">
        <v>2278</v>
      </c>
      <c r="Y38">
        <v>321</v>
      </c>
      <c r="Z38" s="9" t="s">
        <v>37</v>
      </c>
      <c r="AA38">
        <f>X38+Y38</f>
        <v>2599</v>
      </c>
    </row>
    <row r="39" spans="1:27" ht="14.4" x14ac:dyDescent="0.3">
      <c r="A39" s="3" t="s">
        <v>126</v>
      </c>
      <c r="B39" s="3" t="s">
        <v>27</v>
      </c>
      <c r="C39" s="11" t="s">
        <v>127</v>
      </c>
      <c r="D39" s="3" t="s">
        <v>16</v>
      </c>
      <c r="E39" s="21" t="s">
        <v>29</v>
      </c>
      <c r="F39" s="14">
        <v>3138</v>
      </c>
      <c r="G39" s="14">
        <v>123</v>
      </c>
      <c r="H39" s="14">
        <v>291</v>
      </c>
      <c r="I39" s="14">
        <v>28242</v>
      </c>
      <c r="J39" s="14">
        <v>27550</v>
      </c>
      <c r="K39" s="14">
        <v>87</v>
      </c>
      <c r="L39" s="4" t="s">
        <v>30</v>
      </c>
      <c r="M39" s="5" t="s">
        <v>38</v>
      </c>
      <c r="N39" s="17" t="s">
        <v>30</v>
      </c>
      <c r="Q39" s="25">
        <f>(F39+G39+H39)/I39</f>
        <v>0.12577012959422137</v>
      </c>
      <c r="R39" s="15">
        <f t="shared" si="0"/>
        <v>3552</v>
      </c>
      <c r="T39">
        <v>215</v>
      </c>
      <c r="U39" s="9" t="s">
        <v>30</v>
      </c>
      <c r="V39">
        <f>RANK(T39, T:T)</f>
        <v>99</v>
      </c>
      <c r="W39"/>
      <c r="X39">
        <v>1407</v>
      </c>
      <c r="Y39">
        <v>351</v>
      </c>
      <c r="Z39" s="9" t="s">
        <v>30</v>
      </c>
      <c r="AA39">
        <f>X39+Y39</f>
        <v>1758</v>
      </c>
    </row>
    <row r="40" spans="1:27" ht="14.4" x14ac:dyDescent="0.3">
      <c r="A40" s="3" t="s">
        <v>128</v>
      </c>
      <c r="B40" s="3" t="s">
        <v>43</v>
      </c>
      <c r="C40" s="11" t="s">
        <v>129</v>
      </c>
      <c r="D40" s="3" t="s">
        <v>52</v>
      </c>
      <c r="E40" s="21" t="s">
        <v>59</v>
      </c>
      <c r="F40" s="14">
        <v>3564</v>
      </c>
      <c r="G40" s="14">
        <v>629</v>
      </c>
      <c r="H40" s="14">
        <v>177</v>
      </c>
      <c r="I40" s="14">
        <v>60588</v>
      </c>
      <c r="J40" s="14">
        <v>59627</v>
      </c>
      <c r="K40" s="14">
        <v>92</v>
      </c>
      <c r="L40" s="4" t="s">
        <v>30</v>
      </c>
      <c r="M40" s="5"/>
      <c r="N40" s="17" t="s">
        <v>30</v>
      </c>
      <c r="Q40" s="25">
        <f>(F40+G40+H40)/I40</f>
        <v>7.2126493695121141E-2</v>
      </c>
      <c r="R40" s="15">
        <f t="shared" si="0"/>
        <v>4370</v>
      </c>
      <c r="T40">
        <v>271</v>
      </c>
      <c r="U40" s="9" t="s">
        <v>62</v>
      </c>
      <c r="V40">
        <f>RANK(T40, T:T)</f>
        <v>29</v>
      </c>
      <c r="W40"/>
      <c r="X40">
        <v>1652</v>
      </c>
      <c r="Y40">
        <v>357</v>
      </c>
      <c r="Z40" s="9" t="s">
        <v>30</v>
      </c>
      <c r="AA40">
        <f>X40+Y40</f>
        <v>2009</v>
      </c>
    </row>
    <row r="41" spans="1:27" ht="14.4" x14ac:dyDescent="0.3">
      <c r="A41" s="3" t="s">
        <v>130</v>
      </c>
      <c r="B41" s="3" t="s">
        <v>14</v>
      </c>
      <c r="C41" s="11" t="s">
        <v>131</v>
      </c>
      <c r="D41" s="3" t="s">
        <v>52</v>
      </c>
      <c r="E41" s="21" t="s">
        <v>132</v>
      </c>
      <c r="F41" s="14">
        <v>4750</v>
      </c>
      <c r="G41" s="14">
        <v>151</v>
      </c>
      <c r="H41" s="14">
        <v>415</v>
      </c>
      <c r="I41" s="14">
        <v>38000</v>
      </c>
      <c r="J41" s="14">
        <v>37792</v>
      </c>
      <c r="K41" s="14">
        <v>299</v>
      </c>
      <c r="L41" s="4" t="s">
        <v>37</v>
      </c>
      <c r="M41" s="5" t="s">
        <v>38</v>
      </c>
      <c r="N41" s="17" t="s">
        <v>37</v>
      </c>
      <c r="Q41" s="25">
        <f>(F41+G41+H41)/I41</f>
        <v>0.13989473684210527</v>
      </c>
      <c r="R41" s="15">
        <f t="shared" si="0"/>
        <v>5316</v>
      </c>
      <c r="T41">
        <v>31</v>
      </c>
      <c r="U41" s="9" t="s">
        <v>37</v>
      </c>
      <c r="V41">
        <f>RANK(T41, T:T)</f>
        <v>301</v>
      </c>
      <c r="W41"/>
      <c r="X41">
        <v>3775</v>
      </c>
      <c r="Y41">
        <v>239</v>
      </c>
      <c r="Z41" s="9" t="s">
        <v>62</v>
      </c>
      <c r="AA41">
        <f>X41+Y41</f>
        <v>4014</v>
      </c>
    </row>
    <row r="42" spans="1:27" ht="14.4" x14ac:dyDescent="0.3">
      <c r="A42" s="3" t="s">
        <v>133</v>
      </c>
      <c r="B42" s="3" t="s">
        <v>33</v>
      </c>
      <c r="C42" s="11" t="s">
        <v>134</v>
      </c>
      <c r="D42" s="3" t="s">
        <v>16</v>
      </c>
      <c r="E42" s="21" t="s">
        <v>82</v>
      </c>
      <c r="F42" s="14">
        <v>456</v>
      </c>
      <c r="G42" s="14">
        <v>629</v>
      </c>
      <c r="H42" s="14">
        <v>428</v>
      </c>
      <c r="I42" s="14">
        <v>8208</v>
      </c>
      <c r="J42" s="14">
        <v>7377</v>
      </c>
      <c r="K42" s="14">
        <v>205</v>
      </c>
      <c r="L42" s="4" t="s">
        <v>62</v>
      </c>
      <c r="M42" s="5" t="s">
        <v>38</v>
      </c>
      <c r="N42" s="17" t="s">
        <v>62</v>
      </c>
      <c r="Q42" s="25">
        <f>(F42+G42+H42)/I42</f>
        <v>0.18433235867446393</v>
      </c>
      <c r="R42" s="15">
        <f t="shared" si="0"/>
        <v>1513</v>
      </c>
      <c r="T42">
        <v>36</v>
      </c>
      <c r="U42" s="9" t="s">
        <v>37</v>
      </c>
      <c r="V42">
        <f>RANK(T42, T:T)</f>
        <v>294</v>
      </c>
      <c r="W42"/>
      <c r="X42">
        <v>4518</v>
      </c>
      <c r="Y42">
        <v>383</v>
      </c>
      <c r="Z42" s="9" t="s">
        <v>37</v>
      </c>
      <c r="AA42">
        <f>X42+Y42</f>
        <v>4901</v>
      </c>
    </row>
    <row r="43" spans="1:27" ht="14.4" x14ac:dyDescent="0.3">
      <c r="A43" s="3" t="s">
        <v>135</v>
      </c>
      <c r="B43" s="3" t="s">
        <v>27</v>
      </c>
      <c r="C43" s="11" t="s">
        <v>136</v>
      </c>
      <c r="D43" s="3" t="s">
        <v>16</v>
      </c>
      <c r="E43" s="21" t="s">
        <v>29</v>
      </c>
      <c r="F43" s="14">
        <v>1543</v>
      </c>
      <c r="G43" s="14">
        <v>820</v>
      </c>
      <c r="H43" s="14">
        <v>333</v>
      </c>
      <c r="I43" s="14">
        <v>12344</v>
      </c>
      <c r="J43" s="14">
        <v>11496</v>
      </c>
      <c r="K43" s="14">
        <v>241</v>
      </c>
      <c r="L43" s="4" t="s">
        <v>37</v>
      </c>
      <c r="M43" s="5"/>
      <c r="N43" s="17" t="s">
        <v>37</v>
      </c>
      <c r="Q43" s="25">
        <f>(F43+G43+H43)/I43</f>
        <v>0.21840570317563188</v>
      </c>
      <c r="R43" s="15">
        <f t="shared" si="0"/>
        <v>2696</v>
      </c>
      <c r="T43">
        <v>87</v>
      </c>
      <c r="U43" s="9" t="s">
        <v>30</v>
      </c>
      <c r="V43">
        <f>RANK(T43, T:T)</f>
        <v>240</v>
      </c>
      <c r="W43"/>
      <c r="X43">
        <v>3024</v>
      </c>
      <c r="Y43">
        <v>350</v>
      </c>
      <c r="Z43" s="9" t="s">
        <v>37</v>
      </c>
      <c r="AA43">
        <f>X43+Y43</f>
        <v>3374</v>
      </c>
    </row>
    <row r="44" spans="1:27" ht="14.4" x14ac:dyDescent="0.3">
      <c r="A44" s="3" t="s">
        <v>137</v>
      </c>
      <c r="B44" s="3" t="s">
        <v>33</v>
      </c>
      <c r="C44" s="11" t="s">
        <v>138</v>
      </c>
      <c r="D44" s="3" t="s">
        <v>45</v>
      </c>
      <c r="E44" s="21" t="s">
        <v>88</v>
      </c>
      <c r="F44" s="14">
        <v>2174</v>
      </c>
      <c r="G44" s="14">
        <v>658</v>
      </c>
      <c r="H44" s="14">
        <v>15</v>
      </c>
      <c r="I44" s="14">
        <v>13044</v>
      </c>
      <c r="J44" s="14">
        <v>12206</v>
      </c>
      <c r="K44" s="14">
        <v>137</v>
      </c>
      <c r="L44" s="4" t="s">
        <v>30</v>
      </c>
      <c r="M44" s="5" t="s">
        <v>31</v>
      </c>
      <c r="N44" s="17" t="s">
        <v>30</v>
      </c>
      <c r="Q44" s="25">
        <f>(F44+G44+H44)/I44</f>
        <v>0.21826126954921804</v>
      </c>
      <c r="R44" s="15">
        <f t="shared" si="0"/>
        <v>2847</v>
      </c>
      <c r="T44">
        <v>92</v>
      </c>
      <c r="U44" s="9" t="s">
        <v>30</v>
      </c>
      <c r="V44">
        <f>RANK(T44, T:T)</f>
        <v>234</v>
      </c>
      <c r="W44"/>
      <c r="X44">
        <v>3138</v>
      </c>
      <c r="Y44">
        <v>291</v>
      </c>
      <c r="Z44" s="9" t="s">
        <v>30</v>
      </c>
      <c r="AA44">
        <f>X44+Y44</f>
        <v>3429</v>
      </c>
    </row>
    <row r="45" spans="1:27" ht="14.4" x14ac:dyDescent="0.3">
      <c r="A45" s="3" t="s">
        <v>139</v>
      </c>
      <c r="B45" s="3" t="s">
        <v>14</v>
      </c>
      <c r="C45" s="11" t="s">
        <v>140</v>
      </c>
      <c r="D45" s="3" t="s">
        <v>52</v>
      </c>
      <c r="E45" s="21" t="s">
        <v>132</v>
      </c>
      <c r="F45" s="14">
        <v>2358</v>
      </c>
      <c r="G45" s="14">
        <v>784</v>
      </c>
      <c r="H45" s="14">
        <v>344</v>
      </c>
      <c r="I45" s="14">
        <v>35370</v>
      </c>
      <c r="J45" s="14">
        <v>34475</v>
      </c>
      <c r="K45" s="14">
        <v>216</v>
      </c>
      <c r="L45" s="4" t="s">
        <v>30</v>
      </c>
      <c r="M45" s="5"/>
      <c r="N45" s="17" t="s">
        <v>30</v>
      </c>
      <c r="Q45" s="25">
        <f>(F45+G45+H45)/I45</f>
        <v>9.8558100084817649E-2</v>
      </c>
      <c r="R45" s="15">
        <f t="shared" si="0"/>
        <v>3486</v>
      </c>
      <c r="T45">
        <v>299</v>
      </c>
      <c r="U45" s="9" t="s">
        <v>37</v>
      </c>
      <c r="V45">
        <f>RANK(T45, T:T)</f>
        <v>2</v>
      </c>
      <c r="W45"/>
      <c r="X45">
        <v>3564</v>
      </c>
      <c r="Y45">
        <v>177</v>
      </c>
      <c r="Z45" s="9" t="s">
        <v>30</v>
      </c>
      <c r="AA45">
        <f>X45+Y45</f>
        <v>3741</v>
      </c>
    </row>
    <row r="46" spans="1:27" ht="14.4" x14ac:dyDescent="0.3">
      <c r="A46" s="3" t="s">
        <v>141</v>
      </c>
      <c r="B46" s="3" t="s">
        <v>43</v>
      </c>
      <c r="C46" s="11" t="s">
        <v>142</v>
      </c>
      <c r="D46" s="3" t="s">
        <v>74</v>
      </c>
      <c r="E46" s="21" t="s">
        <v>75</v>
      </c>
      <c r="F46" s="14">
        <v>3371</v>
      </c>
      <c r="G46" s="14">
        <v>106</v>
      </c>
      <c r="H46" s="14">
        <v>327</v>
      </c>
      <c r="I46" s="14">
        <v>50565</v>
      </c>
      <c r="J46" s="14">
        <v>49816</v>
      </c>
      <c r="K46" s="14">
        <v>176</v>
      </c>
      <c r="L46" s="4" t="s">
        <v>62</v>
      </c>
      <c r="M46" s="5" t="s">
        <v>19</v>
      </c>
      <c r="N46" s="17" t="s">
        <v>62</v>
      </c>
      <c r="Q46" s="25">
        <f>(F46+G46+H46)/I46</f>
        <v>7.5229902106199939E-2</v>
      </c>
      <c r="R46" s="15">
        <f t="shared" si="0"/>
        <v>3804</v>
      </c>
      <c r="T46">
        <v>205</v>
      </c>
      <c r="U46" s="9" t="s">
        <v>62</v>
      </c>
      <c r="V46">
        <f>RANK(T46, T:T)</f>
        <v>113</v>
      </c>
      <c r="W46"/>
      <c r="X46">
        <v>4750</v>
      </c>
      <c r="Y46">
        <v>415</v>
      </c>
      <c r="Z46" s="9" t="s">
        <v>37</v>
      </c>
      <c r="AA46">
        <f>X46+Y46</f>
        <v>5165</v>
      </c>
    </row>
    <row r="47" spans="1:27" ht="14.4" x14ac:dyDescent="0.3">
      <c r="A47" s="3" t="s">
        <v>143</v>
      </c>
      <c r="B47" s="3" t="s">
        <v>14</v>
      </c>
      <c r="C47" s="11" t="s">
        <v>144</v>
      </c>
      <c r="D47" s="3" t="s">
        <v>74</v>
      </c>
      <c r="E47" s="21" t="s">
        <v>145</v>
      </c>
      <c r="F47" s="14">
        <v>1108</v>
      </c>
      <c r="G47" s="14">
        <v>177</v>
      </c>
      <c r="H47" s="14">
        <v>212</v>
      </c>
      <c r="I47" s="14">
        <v>8864</v>
      </c>
      <c r="J47" s="14">
        <v>8710</v>
      </c>
      <c r="K47" s="14">
        <v>97</v>
      </c>
      <c r="L47" s="4" t="s">
        <v>30</v>
      </c>
      <c r="M47" s="5" t="s">
        <v>38</v>
      </c>
      <c r="N47" s="17" t="s">
        <v>30</v>
      </c>
      <c r="Q47" s="25">
        <f>(F47+G47+H47)/I47</f>
        <v>0.16888537906137185</v>
      </c>
      <c r="R47" s="15">
        <f t="shared" si="0"/>
        <v>1497</v>
      </c>
      <c r="T47">
        <v>241</v>
      </c>
      <c r="U47" s="9" t="s">
        <v>37</v>
      </c>
      <c r="V47">
        <f>RANK(T47, T:T)</f>
        <v>57</v>
      </c>
      <c r="W47"/>
      <c r="X47">
        <v>456</v>
      </c>
      <c r="Y47">
        <v>428</v>
      </c>
      <c r="Z47" s="9" t="s">
        <v>62</v>
      </c>
      <c r="AA47">
        <f>X47+Y47</f>
        <v>884</v>
      </c>
    </row>
    <row r="48" spans="1:27" ht="14.4" x14ac:dyDescent="0.3">
      <c r="A48" s="3" t="s">
        <v>146</v>
      </c>
      <c r="B48" s="3" t="s">
        <v>14</v>
      </c>
      <c r="C48" s="11" t="s">
        <v>147</v>
      </c>
      <c r="D48" s="3" t="s">
        <v>45</v>
      </c>
      <c r="E48" s="21" t="s">
        <v>49</v>
      </c>
      <c r="F48" s="14">
        <v>2704</v>
      </c>
      <c r="G48" s="14">
        <v>752</v>
      </c>
      <c r="H48" s="14">
        <v>153</v>
      </c>
      <c r="I48" s="14">
        <v>21632</v>
      </c>
      <c r="J48" s="14">
        <v>20792</v>
      </c>
      <c r="K48" s="14">
        <v>127</v>
      </c>
      <c r="L48" s="4" t="s">
        <v>62</v>
      </c>
      <c r="M48" s="5"/>
      <c r="N48" s="17" t="s">
        <v>62</v>
      </c>
      <c r="Q48" s="25">
        <f>(F48+G48+H48)/I48</f>
        <v>0.16683616863905326</v>
      </c>
      <c r="R48" s="15">
        <f t="shared" si="0"/>
        <v>3609</v>
      </c>
      <c r="T48">
        <v>137</v>
      </c>
      <c r="U48" s="9" t="s">
        <v>30</v>
      </c>
      <c r="V48">
        <f>RANK(T48, T:T)</f>
        <v>185</v>
      </c>
      <c r="W48"/>
      <c r="X48">
        <v>1543</v>
      </c>
      <c r="Y48">
        <v>333</v>
      </c>
      <c r="Z48" s="9" t="s">
        <v>37</v>
      </c>
      <c r="AA48">
        <f>X48+Y48</f>
        <v>1876</v>
      </c>
    </row>
    <row r="49" spans="1:27" ht="14.4" x14ac:dyDescent="0.3">
      <c r="A49" s="3" t="s">
        <v>148</v>
      </c>
      <c r="B49" s="3" t="s">
        <v>14</v>
      </c>
      <c r="C49" s="11" t="s">
        <v>58</v>
      </c>
      <c r="D49" s="3" t="s">
        <v>35</v>
      </c>
      <c r="E49" s="21" t="s">
        <v>149</v>
      </c>
      <c r="F49" s="14">
        <v>1950</v>
      </c>
      <c r="G49" s="14">
        <v>295</v>
      </c>
      <c r="H49" s="14">
        <v>478</v>
      </c>
      <c r="I49" s="14">
        <v>37050</v>
      </c>
      <c r="J49" s="14">
        <v>36272</v>
      </c>
      <c r="K49" s="14">
        <v>119</v>
      </c>
      <c r="L49" s="4" t="s">
        <v>30</v>
      </c>
      <c r="M49" s="5"/>
      <c r="N49" s="17" t="s">
        <v>30</v>
      </c>
      <c r="Q49" s="25">
        <f>(F49+G49+H49)/I49</f>
        <v>7.349527665317139E-2</v>
      </c>
      <c r="R49" s="15">
        <f t="shared" si="0"/>
        <v>2723</v>
      </c>
      <c r="T49">
        <v>216</v>
      </c>
      <c r="U49" s="9" t="s">
        <v>30</v>
      </c>
      <c r="V49">
        <f>RANK(T49, T:T)</f>
        <v>98</v>
      </c>
      <c r="W49"/>
      <c r="X49">
        <v>2174</v>
      </c>
      <c r="Y49">
        <v>15</v>
      </c>
      <c r="Z49" s="9" t="s">
        <v>30</v>
      </c>
      <c r="AA49">
        <f>X49+Y49</f>
        <v>2189</v>
      </c>
    </row>
    <row r="50" spans="1:27" ht="14.4" x14ac:dyDescent="0.3">
      <c r="A50" s="3" t="s">
        <v>150</v>
      </c>
      <c r="B50" s="3" t="s">
        <v>14</v>
      </c>
      <c r="C50" s="11" t="s">
        <v>151</v>
      </c>
      <c r="D50" s="3" t="s">
        <v>35</v>
      </c>
      <c r="E50" s="21" t="s">
        <v>149</v>
      </c>
      <c r="F50" s="14">
        <v>2164</v>
      </c>
      <c r="G50" s="14">
        <v>549</v>
      </c>
      <c r="H50" s="14">
        <v>274</v>
      </c>
      <c r="I50" s="14">
        <v>28132</v>
      </c>
      <c r="J50" s="14">
        <v>27361</v>
      </c>
      <c r="K50" s="14">
        <v>177</v>
      </c>
      <c r="L50" s="4" t="s">
        <v>30</v>
      </c>
      <c r="M50" s="5" t="s">
        <v>38</v>
      </c>
      <c r="N50" s="17" t="s">
        <v>30</v>
      </c>
      <c r="Q50" s="25">
        <f>(F50+G50+H50)/I50</f>
        <v>0.10617801791554102</v>
      </c>
      <c r="R50" s="15">
        <f t="shared" si="0"/>
        <v>2987</v>
      </c>
      <c r="T50">
        <v>176</v>
      </c>
      <c r="U50" s="9" t="s">
        <v>62</v>
      </c>
      <c r="V50">
        <f>RANK(T50, T:T)</f>
        <v>146</v>
      </c>
      <c r="W50"/>
      <c r="X50">
        <v>2358</v>
      </c>
      <c r="Y50">
        <v>344</v>
      </c>
      <c r="Z50" s="9" t="s">
        <v>30</v>
      </c>
      <c r="AA50">
        <f>X50+Y50</f>
        <v>2702</v>
      </c>
    </row>
    <row r="51" spans="1:27" ht="14.4" x14ac:dyDescent="0.3">
      <c r="A51" s="3" t="s">
        <v>152</v>
      </c>
      <c r="B51" s="3" t="s">
        <v>27</v>
      </c>
      <c r="C51" s="11" t="s">
        <v>153</v>
      </c>
      <c r="D51" s="3" t="s">
        <v>35</v>
      </c>
      <c r="E51" s="21" t="s">
        <v>154</v>
      </c>
      <c r="F51" s="14">
        <v>2754</v>
      </c>
      <c r="G51" s="14">
        <v>130</v>
      </c>
      <c r="H51" s="14">
        <v>90</v>
      </c>
      <c r="I51" s="14">
        <v>22032</v>
      </c>
      <c r="J51" s="14">
        <v>21288</v>
      </c>
      <c r="K51" s="14">
        <v>112</v>
      </c>
      <c r="L51" s="4" t="s">
        <v>30</v>
      </c>
      <c r="M51" s="5" t="s">
        <v>31</v>
      </c>
      <c r="N51" s="17" t="s">
        <v>30</v>
      </c>
      <c r="Q51" s="25">
        <f>(F51+G51+H51)/I51</f>
        <v>0.13498547567175018</v>
      </c>
      <c r="R51" s="15">
        <f t="shared" si="0"/>
        <v>2974</v>
      </c>
      <c r="T51">
        <v>97</v>
      </c>
      <c r="U51" s="9" t="s">
        <v>30</v>
      </c>
      <c r="V51">
        <f>RANK(T51, T:T)</f>
        <v>231</v>
      </c>
      <c r="W51"/>
      <c r="X51">
        <v>3371</v>
      </c>
      <c r="Y51">
        <v>327</v>
      </c>
      <c r="Z51" s="9" t="s">
        <v>62</v>
      </c>
      <c r="AA51">
        <f>X51+Y51</f>
        <v>3698</v>
      </c>
    </row>
    <row r="52" spans="1:27" ht="14.4" x14ac:dyDescent="0.3">
      <c r="A52" s="3" t="s">
        <v>155</v>
      </c>
      <c r="B52" s="3" t="s">
        <v>43</v>
      </c>
      <c r="C52" s="11" t="s">
        <v>156</v>
      </c>
      <c r="D52" s="3" t="s">
        <v>45</v>
      </c>
      <c r="E52" s="21" t="s">
        <v>46</v>
      </c>
      <c r="F52" s="14">
        <v>2200</v>
      </c>
      <c r="G52" s="14">
        <v>504</v>
      </c>
      <c r="H52" s="14">
        <v>239</v>
      </c>
      <c r="I52" s="14">
        <v>37400</v>
      </c>
      <c r="J52" s="14">
        <v>36938</v>
      </c>
      <c r="K52" s="14">
        <v>225</v>
      </c>
      <c r="L52" s="4" t="s">
        <v>62</v>
      </c>
      <c r="M52" s="5" t="s">
        <v>25</v>
      </c>
      <c r="N52" s="17" t="s">
        <v>62</v>
      </c>
      <c r="Q52" s="25">
        <f>(F52+G52+H52)/I52</f>
        <v>7.8689839572192513E-2</v>
      </c>
      <c r="R52" s="15">
        <f t="shared" si="0"/>
        <v>2943</v>
      </c>
      <c r="T52">
        <v>127</v>
      </c>
      <c r="U52" s="9" t="s">
        <v>62</v>
      </c>
      <c r="V52">
        <f>RANK(T52, T:T)</f>
        <v>200</v>
      </c>
      <c r="W52"/>
      <c r="X52">
        <v>1108</v>
      </c>
      <c r="Y52">
        <v>212</v>
      </c>
      <c r="Z52" s="9" t="s">
        <v>30</v>
      </c>
      <c r="AA52">
        <f>X52+Y52</f>
        <v>1320</v>
      </c>
    </row>
    <row r="53" spans="1:27" ht="14.4" x14ac:dyDescent="0.3">
      <c r="A53" s="3" t="s">
        <v>157</v>
      </c>
      <c r="B53" s="3" t="s">
        <v>43</v>
      </c>
      <c r="C53" s="11" t="s">
        <v>158</v>
      </c>
      <c r="D53" s="3" t="s">
        <v>52</v>
      </c>
      <c r="E53" s="21" t="s">
        <v>59</v>
      </c>
      <c r="F53" s="14">
        <v>947</v>
      </c>
      <c r="G53" s="14">
        <v>338</v>
      </c>
      <c r="H53" s="14">
        <v>350</v>
      </c>
      <c r="I53" s="14">
        <v>10417</v>
      </c>
      <c r="J53" s="14">
        <v>9730</v>
      </c>
      <c r="K53" s="14">
        <v>34</v>
      </c>
      <c r="L53" s="4" t="s">
        <v>30</v>
      </c>
      <c r="M53" s="5" t="s">
        <v>38</v>
      </c>
      <c r="N53" s="17" t="s">
        <v>30</v>
      </c>
      <c r="Q53" s="25">
        <f>(F53+G53+H53)/I53</f>
        <v>0.1569549774407219</v>
      </c>
      <c r="R53" s="15">
        <f t="shared" si="0"/>
        <v>1635</v>
      </c>
      <c r="T53">
        <v>119</v>
      </c>
      <c r="U53" s="9" t="s">
        <v>30</v>
      </c>
      <c r="V53">
        <f>RANK(T53, T:T)</f>
        <v>209</v>
      </c>
      <c r="W53"/>
      <c r="X53">
        <v>2704</v>
      </c>
      <c r="Y53">
        <v>153</v>
      </c>
      <c r="Z53" s="9" t="s">
        <v>62</v>
      </c>
      <c r="AA53">
        <f>X53+Y53</f>
        <v>2857</v>
      </c>
    </row>
    <row r="54" spans="1:27" ht="14.4" x14ac:dyDescent="0.3">
      <c r="A54" s="3" t="s">
        <v>159</v>
      </c>
      <c r="B54" s="3" t="s">
        <v>27</v>
      </c>
      <c r="C54" s="11" t="s">
        <v>147</v>
      </c>
      <c r="D54" s="3" t="s">
        <v>45</v>
      </c>
      <c r="E54" s="21" t="s">
        <v>68</v>
      </c>
      <c r="F54" s="14">
        <v>804</v>
      </c>
      <c r="G54" s="14">
        <v>639</v>
      </c>
      <c r="H54" s="14">
        <v>43</v>
      </c>
      <c r="I54" s="14">
        <v>4020</v>
      </c>
      <c r="J54" s="14">
        <v>3144</v>
      </c>
      <c r="K54" s="14">
        <v>11</v>
      </c>
      <c r="L54" s="4" t="s">
        <v>160</v>
      </c>
      <c r="M54" s="5"/>
      <c r="N54" s="17" t="s">
        <v>37</v>
      </c>
      <c r="O54" s="17" t="s">
        <v>594</v>
      </c>
      <c r="Q54" s="25">
        <f>(F54+G54+H54)/I54</f>
        <v>0.36965174129353234</v>
      </c>
      <c r="R54" s="15">
        <f t="shared" si="0"/>
        <v>1486</v>
      </c>
      <c r="T54">
        <v>177</v>
      </c>
      <c r="U54" s="9" t="s">
        <v>30</v>
      </c>
      <c r="V54">
        <f>RANK(T54, T:T)</f>
        <v>144</v>
      </c>
      <c r="W54"/>
      <c r="X54">
        <v>1950</v>
      </c>
      <c r="Y54">
        <v>478</v>
      </c>
      <c r="Z54" s="9" t="s">
        <v>30</v>
      </c>
      <c r="AA54">
        <f>X54+Y54</f>
        <v>2428</v>
      </c>
    </row>
    <row r="55" spans="1:27" ht="14.4" x14ac:dyDescent="0.3">
      <c r="A55" s="3" t="s">
        <v>161</v>
      </c>
      <c r="B55" s="3" t="s">
        <v>27</v>
      </c>
      <c r="C55" s="11" t="s">
        <v>162</v>
      </c>
      <c r="D55" s="3" t="s">
        <v>45</v>
      </c>
      <c r="E55" s="21" t="s">
        <v>68</v>
      </c>
      <c r="F55" s="14">
        <v>1686</v>
      </c>
      <c r="G55" s="14">
        <v>904</v>
      </c>
      <c r="H55" s="14">
        <v>472</v>
      </c>
      <c r="I55" s="14">
        <v>18546</v>
      </c>
      <c r="J55" s="14">
        <v>18171</v>
      </c>
      <c r="K55" s="14">
        <v>52</v>
      </c>
      <c r="L55" s="4" t="s">
        <v>62</v>
      </c>
      <c r="M55" s="5" t="s">
        <v>25</v>
      </c>
      <c r="N55" s="17" t="s">
        <v>62</v>
      </c>
      <c r="Q55" s="25">
        <f>(F55+G55+H55)/I55</f>
        <v>0.16510298716704411</v>
      </c>
      <c r="R55" s="15">
        <f t="shared" si="0"/>
        <v>3062</v>
      </c>
      <c r="T55">
        <v>112</v>
      </c>
      <c r="U55" s="9" t="s">
        <v>30</v>
      </c>
      <c r="V55">
        <f>RANK(T55, T:T)</f>
        <v>220</v>
      </c>
      <c r="W55"/>
      <c r="X55">
        <v>2164</v>
      </c>
      <c r="Y55">
        <v>274</v>
      </c>
      <c r="Z55" s="9" t="s">
        <v>30</v>
      </c>
      <c r="AA55">
        <f>X55+Y55</f>
        <v>2438</v>
      </c>
    </row>
    <row r="56" spans="1:27" ht="14.4" x14ac:dyDescent="0.3">
      <c r="A56" s="3" t="s">
        <v>163</v>
      </c>
      <c r="B56" s="3" t="s">
        <v>43</v>
      </c>
      <c r="C56" s="11" t="s">
        <v>164</v>
      </c>
      <c r="D56" s="3" t="s">
        <v>52</v>
      </c>
      <c r="E56" s="21" t="s">
        <v>59</v>
      </c>
      <c r="F56" s="14">
        <v>1226</v>
      </c>
      <c r="G56" s="14">
        <v>119</v>
      </c>
      <c r="H56" s="14">
        <v>7</v>
      </c>
      <c r="I56" s="14">
        <v>14712</v>
      </c>
      <c r="J56" s="14">
        <v>14049</v>
      </c>
      <c r="K56" s="14">
        <v>123</v>
      </c>
      <c r="L56" s="4" t="s">
        <v>37</v>
      </c>
      <c r="M56" s="5" t="s">
        <v>38</v>
      </c>
      <c r="N56" s="17" t="s">
        <v>37</v>
      </c>
      <c r="Q56" s="25">
        <f>(F56+G56+H56)/I56</f>
        <v>9.1897770527460579E-2</v>
      </c>
      <c r="R56" s="15">
        <f t="shared" si="0"/>
        <v>1352</v>
      </c>
      <c r="T56">
        <v>225</v>
      </c>
      <c r="U56" s="9" t="s">
        <v>62</v>
      </c>
      <c r="V56">
        <f>RANK(T56, T:T)</f>
        <v>85</v>
      </c>
      <c r="W56"/>
      <c r="X56">
        <v>2754</v>
      </c>
      <c r="Y56">
        <v>90</v>
      </c>
      <c r="Z56" s="9" t="s">
        <v>30</v>
      </c>
      <c r="AA56">
        <f>X56+Y56</f>
        <v>2844</v>
      </c>
    </row>
    <row r="57" spans="1:27" ht="14.4" x14ac:dyDescent="0.3">
      <c r="A57" s="3" t="s">
        <v>165</v>
      </c>
      <c r="B57" s="3" t="s">
        <v>43</v>
      </c>
      <c r="C57" s="11" t="s">
        <v>166</v>
      </c>
      <c r="D57" s="3" t="s">
        <v>45</v>
      </c>
      <c r="E57" s="21" t="s">
        <v>46</v>
      </c>
      <c r="F57" s="14">
        <v>2946</v>
      </c>
      <c r="G57" s="14">
        <v>498</v>
      </c>
      <c r="H57" s="14">
        <v>367</v>
      </c>
      <c r="I57" s="14">
        <v>29460</v>
      </c>
      <c r="J57" s="14">
        <v>28527</v>
      </c>
      <c r="K57" s="14">
        <v>60</v>
      </c>
      <c r="L57" s="4" t="s">
        <v>62</v>
      </c>
      <c r="M57" s="5" t="s">
        <v>31</v>
      </c>
      <c r="N57" s="17" t="s">
        <v>62</v>
      </c>
      <c r="Q57" s="25">
        <f>(F57+G57+H57)/I57</f>
        <v>0.12936184657162253</v>
      </c>
      <c r="R57" s="15">
        <f t="shared" si="0"/>
        <v>3811</v>
      </c>
      <c r="T57">
        <v>34</v>
      </c>
      <c r="U57" s="9" t="s">
        <v>30</v>
      </c>
      <c r="V57">
        <f>RANK(T57, T:T)</f>
        <v>298</v>
      </c>
      <c r="W57"/>
      <c r="X57">
        <v>2200</v>
      </c>
      <c r="Y57">
        <v>239</v>
      </c>
      <c r="Z57" s="9" t="s">
        <v>62</v>
      </c>
      <c r="AA57">
        <f>X57+Y57</f>
        <v>2439</v>
      </c>
    </row>
    <row r="58" spans="1:27" ht="14.4" x14ac:dyDescent="0.3">
      <c r="A58" s="3" t="s">
        <v>167</v>
      </c>
      <c r="B58" s="3" t="s">
        <v>14</v>
      </c>
      <c r="C58" s="11" t="s">
        <v>168</v>
      </c>
      <c r="D58" s="3" t="s">
        <v>74</v>
      </c>
      <c r="E58" s="21" t="s">
        <v>145</v>
      </c>
      <c r="F58" s="14">
        <v>2825</v>
      </c>
      <c r="G58" s="14">
        <v>535</v>
      </c>
      <c r="H58" s="14">
        <v>295</v>
      </c>
      <c r="I58" s="14">
        <v>45200</v>
      </c>
      <c r="J58" s="14">
        <v>44739</v>
      </c>
      <c r="K58" s="14">
        <v>169</v>
      </c>
      <c r="L58" s="4" t="s">
        <v>30</v>
      </c>
      <c r="M58" s="5" t="s">
        <v>19</v>
      </c>
      <c r="N58" s="17" t="s">
        <v>30</v>
      </c>
      <c r="Q58" s="25">
        <f>(F58+G58+H58)/I58</f>
        <v>8.0862831858407078E-2</v>
      </c>
      <c r="R58" s="15">
        <f t="shared" si="0"/>
        <v>3655</v>
      </c>
      <c r="T58">
        <v>11</v>
      </c>
      <c r="U58" s="9" t="s">
        <v>37</v>
      </c>
      <c r="V58">
        <f>RANK(T58, T:T)</f>
        <v>328</v>
      </c>
      <c r="W58"/>
      <c r="X58">
        <v>947</v>
      </c>
      <c r="Y58">
        <v>350</v>
      </c>
      <c r="Z58" s="9" t="s">
        <v>30</v>
      </c>
      <c r="AA58">
        <f>X58+Y58</f>
        <v>1297</v>
      </c>
    </row>
    <row r="59" spans="1:27" ht="14.4" x14ac:dyDescent="0.3">
      <c r="A59" s="3" t="s">
        <v>169</v>
      </c>
      <c r="B59" s="3" t="s">
        <v>33</v>
      </c>
      <c r="C59" s="11" t="s">
        <v>170</v>
      </c>
      <c r="D59" s="3" t="s">
        <v>16</v>
      </c>
      <c r="E59" s="21" t="s">
        <v>82</v>
      </c>
      <c r="F59" s="14">
        <v>103</v>
      </c>
      <c r="G59" s="14">
        <v>770</v>
      </c>
      <c r="H59" s="14">
        <v>19</v>
      </c>
      <c r="I59" s="14">
        <v>1030</v>
      </c>
      <c r="J59" s="14">
        <v>410</v>
      </c>
      <c r="K59" s="14">
        <v>262</v>
      </c>
      <c r="L59" s="4" t="s">
        <v>30</v>
      </c>
      <c r="M59" s="5" t="s">
        <v>38</v>
      </c>
      <c r="N59" s="17" t="s">
        <v>30</v>
      </c>
      <c r="Q59" s="25">
        <f>(F59+G59+H59)/I59</f>
        <v>0.86601941747572819</v>
      </c>
      <c r="R59" s="15">
        <f t="shared" si="0"/>
        <v>892</v>
      </c>
      <c r="T59">
        <v>11</v>
      </c>
      <c r="U59" s="9" t="s">
        <v>594</v>
      </c>
      <c r="V59">
        <f>RANK(T59, T:T)</f>
        <v>328</v>
      </c>
      <c r="W59"/>
      <c r="X59">
        <v>804</v>
      </c>
      <c r="Y59">
        <v>43</v>
      </c>
      <c r="Z59" s="9" t="s">
        <v>37</v>
      </c>
      <c r="AA59">
        <f>X59+Y59</f>
        <v>847</v>
      </c>
    </row>
    <row r="60" spans="1:27" ht="14.4" x14ac:dyDescent="0.3">
      <c r="A60" s="3" t="s">
        <v>171</v>
      </c>
      <c r="B60" s="3" t="s">
        <v>33</v>
      </c>
      <c r="C60" s="11" t="s">
        <v>172</v>
      </c>
      <c r="D60" s="3" t="s">
        <v>22</v>
      </c>
      <c r="E60" s="21" t="s">
        <v>113</v>
      </c>
      <c r="F60" s="14">
        <v>2180</v>
      </c>
      <c r="G60" s="14">
        <v>263</v>
      </c>
      <c r="H60" s="14">
        <v>387</v>
      </c>
      <c r="I60" s="14">
        <v>30520</v>
      </c>
      <c r="J60" s="14">
        <v>30059</v>
      </c>
      <c r="K60" s="14">
        <v>174</v>
      </c>
      <c r="L60" s="4" t="s">
        <v>37</v>
      </c>
      <c r="M60" s="5"/>
      <c r="N60" s="17" t="s">
        <v>37</v>
      </c>
      <c r="Q60" s="25">
        <f>(F60+G60+H60)/I60</f>
        <v>9.2726081258191345E-2</v>
      </c>
      <c r="R60" s="15">
        <f t="shared" si="0"/>
        <v>2830</v>
      </c>
      <c r="T60">
        <v>52</v>
      </c>
      <c r="U60" s="9" t="s">
        <v>62</v>
      </c>
      <c r="V60">
        <f>RANK(T60, T:T)</f>
        <v>272</v>
      </c>
      <c r="W60"/>
      <c r="X60">
        <v>804</v>
      </c>
      <c r="Y60">
        <v>43</v>
      </c>
      <c r="Z60" s="9" t="s">
        <v>594</v>
      </c>
      <c r="AA60">
        <f>X60+Y60</f>
        <v>847</v>
      </c>
    </row>
    <row r="61" spans="1:27" ht="14.4" x14ac:dyDescent="0.3">
      <c r="A61" s="3" t="s">
        <v>173</v>
      </c>
      <c r="B61" s="3" t="s">
        <v>33</v>
      </c>
      <c r="C61" s="11" t="s">
        <v>174</v>
      </c>
      <c r="D61" s="3" t="s">
        <v>74</v>
      </c>
      <c r="E61" s="21" t="s">
        <v>85</v>
      </c>
      <c r="F61" s="14">
        <v>904</v>
      </c>
      <c r="G61" s="14">
        <v>973</v>
      </c>
      <c r="H61" s="14">
        <v>63</v>
      </c>
      <c r="I61" s="14">
        <v>11752</v>
      </c>
      <c r="J61" s="14">
        <v>11580</v>
      </c>
      <c r="K61" s="14">
        <v>84</v>
      </c>
      <c r="L61" s="4" t="s">
        <v>175</v>
      </c>
      <c r="M61" s="5" t="s">
        <v>31</v>
      </c>
      <c r="N61" s="17" t="s">
        <v>37</v>
      </c>
      <c r="O61" s="17" t="s">
        <v>30</v>
      </c>
      <c r="P61" s="17" t="s">
        <v>593</v>
      </c>
      <c r="Q61" s="25">
        <f>(F61+G61+H61)/I61</f>
        <v>0.1650782845473111</v>
      </c>
      <c r="R61" s="15">
        <f t="shared" si="0"/>
        <v>1940</v>
      </c>
      <c r="T61">
        <v>123</v>
      </c>
      <c r="U61" s="9" t="s">
        <v>37</v>
      </c>
      <c r="V61">
        <f>RANK(T61, T:T)</f>
        <v>202</v>
      </c>
      <c r="W61"/>
      <c r="X61">
        <v>1686</v>
      </c>
      <c r="Y61">
        <v>472</v>
      </c>
      <c r="Z61" s="9" t="s">
        <v>62</v>
      </c>
      <c r="AA61">
        <f>X61+Y61</f>
        <v>2158</v>
      </c>
    </row>
    <row r="62" spans="1:27" ht="14.4" x14ac:dyDescent="0.3">
      <c r="A62" s="3" t="s">
        <v>176</v>
      </c>
      <c r="B62" s="3" t="s">
        <v>14</v>
      </c>
      <c r="C62" s="11" t="s">
        <v>177</v>
      </c>
      <c r="D62" s="3" t="s">
        <v>74</v>
      </c>
      <c r="E62" s="21" t="s">
        <v>145</v>
      </c>
      <c r="F62" s="14">
        <v>4886</v>
      </c>
      <c r="G62" s="14">
        <v>983</v>
      </c>
      <c r="H62" s="14">
        <v>409</v>
      </c>
      <c r="I62" s="14">
        <v>43974</v>
      </c>
      <c r="J62" s="14">
        <v>43239</v>
      </c>
      <c r="K62" s="14">
        <v>65</v>
      </c>
      <c r="L62" s="4" t="s">
        <v>30</v>
      </c>
      <c r="M62" s="5" t="s">
        <v>19</v>
      </c>
      <c r="N62" s="17" t="s">
        <v>30</v>
      </c>
      <c r="Q62" s="25">
        <f>(F62+G62+H62)/I62</f>
        <v>0.14276618001546368</v>
      </c>
      <c r="R62" s="15">
        <f t="shared" si="0"/>
        <v>6278</v>
      </c>
      <c r="T62">
        <v>60</v>
      </c>
      <c r="U62" s="9" t="s">
        <v>62</v>
      </c>
      <c r="V62">
        <f>RANK(T62, T:T)</f>
        <v>266</v>
      </c>
      <c r="W62"/>
      <c r="X62">
        <v>1226</v>
      </c>
      <c r="Y62">
        <v>7</v>
      </c>
      <c r="Z62" s="9" t="s">
        <v>37</v>
      </c>
      <c r="AA62">
        <f>X62+Y62</f>
        <v>1233</v>
      </c>
    </row>
    <row r="63" spans="1:27" ht="14.4" x14ac:dyDescent="0.3">
      <c r="A63" s="3" t="s">
        <v>178</v>
      </c>
      <c r="B63" s="3" t="s">
        <v>14</v>
      </c>
      <c r="C63" s="11" t="s">
        <v>179</v>
      </c>
      <c r="D63" s="3" t="s">
        <v>45</v>
      </c>
      <c r="E63" s="21" t="s">
        <v>49</v>
      </c>
      <c r="F63" s="14">
        <v>53</v>
      </c>
      <c r="G63" s="14">
        <v>81</v>
      </c>
      <c r="H63" s="14">
        <v>379</v>
      </c>
      <c r="I63" s="14">
        <v>954</v>
      </c>
      <c r="J63" s="14">
        <v>7</v>
      </c>
      <c r="K63" s="14">
        <v>148</v>
      </c>
      <c r="L63" s="4" t="s">
        <v>30</v>
      </c>
      <c r="M63" s="5" t="s">
        <v>31</v>
      </c>
      <c r="N63" s="17" t="s">
        <v>30</v>
      </c>
      <c r="Q63" s="25">
        <f>(F63+G63+H63)/I63</f>
        <v>0.53773584905660377</v>
      </c>
      <c r="R63" s="15">
        <f t="shared" si="0"/>
        <v>513</v>
      </c>
      <c r="T63">
        <v>169</v>
      </c>
      <c r="U63" s="9" t="s">
        <v>30</v>
      </c>
      <c r="V63">
        <f>RANK(T63, T:T)</f>
        <v>157</v>
      </c>
      <c r="W63"/>
      <c r="X63">
        <v>2946</v>
      </c>
      <c r="Y63">
        <v>367</v>
      </c>
      <c r="Z63" s="9" t="s">
        <v>62</v>
      </c>
      <c r="AA63">
        <f>X63+Y63</f>
        <v>3313</v>
      </c>
    </row>
    <row r="64" spans="1:27" ht="14.4" x14ac:dyDescent="0.3">
      <c r="A64" s="3" t="s">
        <v>180</v>
      </c>
      <c r="B64" s="3" t="s">
        <v>14</v>
      </c>
      <c r="C64" s="11" t="s">
        <v>115</v>
      </c>
      <c r="D64" s="3" t="s">
        <v>45</v>
      </c>
      <c r="E64" s="21" t="s">
        <v>49</v>
      </c>
      <c r="F64" s="14">
        <v>4507</v>
      </c>
      <c r="G64" s="14">
        <v>217</v>
      </c>
      <c r="H64" s="14">
        <v>13</v>
      </c>
      <c r="I64" s="14">
        <v>90140</v>
      </c>
      <c r="J64" s="14">
        <v>89591</v>
      </c>
      <c r="K64" s="14">
        <v>125</v>
      </c>
      <c r="L64" s="4" t="s">
        <v>62</v>
      </c>
      <c r="M64" s="5" t="s">
        <v>31</v>
      </c>
      <c r="N64" s="17" t="s">
        <v>62</v>
      </c>
      <c r="Q64" s="25">
        <f>(F64+G64+H64)/I64</f>
        <v>5.2551586421122697E-2</v>
      </c>
      <c r="R64" s="15">
        <f t="shared" si="0"/>
        <v>4737</v>
      </c>
      <c r="T64">
        <v>262</v>
      </c>
      <c r="U64" s="9" t="s">
        <v>30</v>
      </c>
      <c r="V64">
        <f>RANK(T64, T:T)</f>
        <v>38</v>
      </c>
      <c r="W64"/>
      <c r="X64">
        <v>2825</v>
      </c>
      <c r="Y64">
        <v>295</v>
      </c>
      <c r="Z64" s="9" t="s">
        <v>30</v>
      </c>
      <c r="AA64">
        <f>X64+Y64</f>
        <v>3120</v>
      </c>
    </row>
    <row r="65" spans="1:27" ht="14.4" x14ac:dyDescent="0.3">
      <c r="A65" s="3" t="s">
        <v>181</v>
      </c>
      <c r="B65" s="3" t="s">
        <v>43</v>
      </c>
      <c r="C65" s="11" t="s">
        <v>182</v>
      </c>
      <c r="D65" s="3" t="s">
        <v>52</v>
      </c>
      <c r="E65" s="21" t="s">
        <v>59</v>
      </c>
      <c r="F65" s="14">
        <v>2878</v>
      </c>
      <c r="G65" s="14">
        <v>248</v>
      </c>
      <c r="H65" s="14">
        <v>416</v>
      </c>
      <c r="I65" s="14">
        <v>43170</v>
      </c>
      <c r="J65" s="14">
        <v>42667</v>
      </c>
      <c r="K65" s="14">
        <v>75</v>
      </c>
      <c r="L65" s="4" t="s">
        <v>62</v>
      </c>
      <c r="M65" s="5" t="s">
        <v>31</v>
      </c>
      <c r="N65" s="17" t="s">
        <v>62</v>
      </c>
      <c r="Q65" s="25">
        <f>(F65+G65+H65)/I65</f>
        <v>8.2047718322909427E-2</v>
      </c>
      <c r="R65" s="15">
        <f t="shared" si="0"/>
        <v>3542</v>
      </c>
      <c r="T65">
        <v>174</v>
      </c>
      <c r="U65" s="9" t="s">
        <v>37</v>
      </c>
      <c r="V65">
        <f>RANK(T65, T:T)</f>
        <v>148</v>
      </c>
      <c r="W65"/>
      <c r="X65">
        <v>103</v>
      </c>
      <c r="Y65">
        <v>19</v>
      </c>
      <c r="Z65" s="9" t="s">
        <v>30</v>
      </c>
      <c r="AA65">
        <f>X65+Y65</f>
        <v>122</v>
      </c>
    </row>
    <row r="66" spans="1:27" ht="14.4" x14ac:dyDescent="0.3">
      <c r="A66" s="3" t="s">
        <v>183</v>
      </c>
      <c r="B66" s="3" t="s">
        <v>33</v>
      </c>
      <c r="C66" s="11" t="s">
        <v>184</v>
      </c>
      <c r="D66" s="3" t="s">
        <v>35</v>
      </c>
      <c r="E66" s="21" t="s">
        <v>36</v>
      </c>
      <c r="F66" s="14">
        <v>1881</v>
      </c>
      <c r="G66" s="14">
        <v>501</v>
      </c>
      <c r="H66" s="14">
        <v>99</v>
      </c>
      <c r="I66" s="14">
        <v>20691</v>
      </c>
      <c r="J66" s="14">
        <v>19987</v>
      </c>
      <c r="K66" s="14">
        <v>289</v>
      </c>
      <c r="L66" s="4" t="s">
        <v>37</v>
      </c>
      <c r="M66" s="5"/>
      <c r="N66" s="17" t="s">
        <v>37</v>
      </c>
      <c r="Q66" s="25">
        <f>(F66+G66+H66)/I66</f>
        <v>0.11990720603160794</v>
      </c>
      <c r="R66" s="15">
        <f t="shared" si="0"/>
        <v>2481</v>
      </c>
      <c r="T66">
        <v>84</v>
      </c>
      <c r="U66" s="9" t="s">
        <v>37</v>
      </c>
      <c r="V66">
        <f>RANK(T66, T:T)</f>
        <v>244</v>
      </c>
      <c r="W66"/>
      <c r="X66">
        <v>2180</v>
      </c>
      <c r="Y66">
        <v>387</v>
      </c>
      <c r="Z66" s="9" t="s">
        <v>37</v>
      </c>
      <c r="AA66">
        <f>X66+Y66</f>
        <v>2567</v>
      </c>
    </row>
    <row r="67" spans="1:27" ht="14.4" x14ac:dyDescent="0.3">
      <c r="A67" s="3" t="s">
        <v>185</v>
      </c>
      <c r="B67" s="3" t="s">
        <v>14</v>
      </c>
      <c r="C67" s="11" t="s">
        <v>186</v>
      </c>
      <c r="D67" s="3" t="s">
        <v>45</v>
      </c>
      <c r="E67" s="21" t="s">
        <v>49</v>
      </c>
      <c r="F67" s="14">
        <v>432</v>
      </c>
      <c r="G67" s="14">
        <v>171</v>
      </c>
      <c r="H67" s="14">
        <v>280</v>
      </c>
      <c r="I67" s="14">
        <v>3024</v>
      </c>
      <c r="J67" s="14">
        <v>2285</v>
      </c>
      <c r="K67" s="14">
        <v>184</v>
      </c>
      <c r="L67" s="4" t="s">
        <v>37</v>
      </c>
      <c r="M67" s="5" t="s">
        <v>19</v>
      </c>
      <c r="N67" s="17" t="s">
        <v>37</v>
      </c>
      <c r="Q67" s="25">
        <f>(F67+G67+H67)/I67</f>
        <v>0.29199735449735448</v>
      </c>
      <c r="R67" s="15">
        <f t="shared" ref="R67:R130" si="1">F67+G67+H67</f>
        <v>883</v>
      </c>
      <c r="T67">
        <v>84</v>
      </c>
      <c r="U67" s="9" t="s">
        <v>30</v>
      </c>
      <c r="V67">
        <f>RANK(T67, T:T)</f>
        <v>244</v>
      </c>
      <c r="W67"/>
      <c r="X67">
        <v>904</v>
      </c>
      <c r="Y67">
        <v>63</v>
      </c>
      <c r="Z67" s="9" t="s">
        <v>37</v>
      </c>
      <c r="AA67">
        <f>X67+Y67</f>
        <v>967</v>
      </c>
    </row>
    <row r="68" spans="1:27" ht="14.4" x14ac:dyDescent="0.3">
      <c r="A68" s="3" t="s">
        <v>187</v>
      </c>
      <c r="B68" s="3" t="s">
        <v>43</v>
      </c>
      <c r="C68" s="11" t="s">
        <v>188</v>
      </c>
      <c r="D68" s="3" t="s">
        <v>45</v>
      </c>
      <c r="E68" s="21" t="s">
        <v>46</v>
      </c>
      <c r="F68" s="14">
        <v>4712</v>
      </c>
      <c r="G68" s="14">
        <v>568</v>
      </c>
      <c r="H68" s="14">
        <v>127</v>
      </c>
      <c r="I68" s="14">
        <v>84816</v>
      </c>
      <c r="J68" s="14">
        <v>84691</v>
      </c>
      <c r="K68" s="14">
        <v>100</v>
      </c>
      <c r="L68" s="4" t="s">
        <v>37</v>
      </c>
      <c r="M68" s="5" t="s">
        <v>31</v>
      </c>
      <c r="N68" s="17" t="s">
        <v>37</v>
      </c>
      <c r="Q68" s="25">
        <f>(F68+G68+H68)/I68</f>
        <v>6.3749764195434822E-2</v>
      </c>
      <c r="R68" s="15">
        <f t="shared" si="1"/>
        <v>5407</v>
      </c>
      <c r="T68">
        <v>84</v>
      </c>
      <c r="U68" s="9" t="s">
        <v>593</v>
      </c>
      <c r="V68">
        <f>RANK(T68, T:T)</f>
        <v>244</v>
      </c>
      <c r="W68"/>
      <c r="X68">
        <v>904</v>
      </c>
      <c r="Y68">
        <v>63</v>
      </c>
      <c r="Z68" s="9" t="s">
        <v>30</v>
      </c>
      <c r="AA68">
        <f>X68+Y68</f>
        <v>967</v>
      </c>
    </row>
    <row r="69" spans="1:27" ht="14.4" x14ac:dyDescent="0.3">
      <c r="A69" s="3" t="s">
        <v>189</v>
      </c>
      <c r="B69" s="3" t="s">
        <v>33</v>
      </c>
      <c r="C69" s="11" t="s">
        <v>190</v>
      </c>
      <c r="D69" s="3" t="s">
        <v>35</v>
      </c>
      <c r="E69" s="21" t="s">
        <v>36</v>
      </c>
      <c r="F69" s="14">
        <v>2610</v>
      </c>
      <c r="G69" s="14">
        <v>126</v>
      </c>
      <c r="H69" s="14">
        <v>288</v>
      </c>
      <c r="I69" s="14">
        <v>15660</v>
      </c>
      <c r="J69" s="14">
        <v>15145</v>
      </c>
      <c r="K69" s="14">
        <v>73</v>
      </c>
      <c r="L69" s="4" t="s">
        <v>37</v>
      </c>
      <c r="M69" s="5"/>
      <c r="N69" s="17" t="s">
        <v>37</v>
      </c>
      <c r="Q69" s="25">
        <f>(F69+G69+H69)/I69</f>
        <v>0.19310344827586207</v>
      </c>
      <c r="R69" s="15">
        <f t="shared" si="1"/>
        <v>3024</v>
      </c>
      <c r="T69">
        <v>65</v>
      </c>
      <c r="U69" s="9" t="s">
        <v>30</v>
      </c>
      <c r="V69">
        <f>RANK(T69, T:T)</f>
        <v>259</v>
      </c>
      <c r="W69"/>
      <c r="X69">
        <v>904</v>
      </c>
      <c r="Y69">
        <v>63</v>
      </c>
      <c r="Z69" s="9" t="s">
        <v>593</v>
      </c>
      <c r="AA69">
        <f>X69+Y69</f>
        <v>967</v>
      </c>
    </row>
    <row r="70" spans="1:27" ht="14.4" x14ac:dyDescent="0.3">
      <c r="A70" s="3" t="s">
        <v>191</v>
      </c>
      <c r="B70" s="3" t="s">
        <v>14</v>
      </c>
      <c r="C70" s="11" t="s">
        <v>134</v>
      </c>
      <c r="D70" s="3" t="s">
        <v>22</v>
      </c>
      <c r="E70" s="21" t="s">
        <v>23</v>
      </c>
      <c r="F70" s="14">
        <v>1292</v>
      </c>
      <c r="G70" s="14">
        <v>626</v>
      </c>
      <c r="H70" s="14">
        <v>496</v>
      </c>
      <c r="I70" s="14">
        <v>25840</v>
      </c>
      <c r="J70" s="14">
        <v>24916</v>
      </c>
      <c r="K70" s="14">
        <v>149</v>
      </c>
      <c r="L70" s="4" t="s">
        <v>62</v>
      </c>
      <c r="M70" s="5" t="s">
        <v>31</v>
      </c>
      <c r="N70" s="17" t="s">
        <v>62</v>
      </c>
      <c r="Q70" s="25">
        <f>(F70+G70+H70)/I70</f>
        <v>9.3421052631578946E-2</v>
      </c>
      <c r="R70" s="15">
        <f t="shared" si="1"/>
        <v>2414</v>
      </c>
      <c r="T70">
        <v>148</v>
      </c>
      <c r="U70" s="9" t="s">
        <v>30</v>
      </c>
      <c r="V70">
        <f>RANK(T70, T:T)</f>
        <v>175</v>
      </c>
      <c r="W70"/>
      <c r="X70">
        <v>4886</v>
      </c>
      <c r="Y70">
        <v>409</v>
      </c>
      <c r="Z70" s="9" t="s">
        <v>30</v>
      </c>
      <c r="AA70">
        <f>X70+Y70</f>
        <v>5295</v>
      </c>
    </row>
    <row r="71" spans="1:27" ht="14.4" x14ac:dyDescent="0.3">
      <c r="A71" s="3" t="s">
        <v>192</v>
      </c>
      <c r="B71" s="3" t="s">
        <v>43</v>
      </c>
      <c r="C71" s="11" t="s">
        <v>193</v>
      </c>
      <c r="D71" s="3" t="s">
        <v>74</v>
      </c>
      <c r="E71" s="21" t="s">
        <v>75</v>
      </c>
      <c r="F71" s="14">
        <v>199</v>
      </c>
      <c r="G71" s="14">
        <v>772</v>
      </c>
      <c r="H71" s="14">
        <v>400</v>
      </c>
      <c r="I71" s="14">
        <v>3582</v>
      </c>
      <c r="J71" s="14">
        <v>2988</v>
      </c>
      <c r="K71" s="14">
        <v>43</v>
      </c>
      <c r="L71" s="4" t="s">
        <v>30</v>
      </c>
      <c r="M71" s="5"/>
      <c r="N71" s="17" t="s">
        <v>30</v>
      </c>
      <c r="Q71" s="25">
        <f>(F71+G71+H71)/I71</f>
        <v>0.38274706867671693</v>
      </c>
      <c r="R71" s="15">
        <f t="shared" si="1"/>
        <v>1371</v>
      </c>
      <c r="T71">
        <v>125</v>
      </c>
      <c r="U71" s="9" t="s">
        <v>62</v>
      </c>
      <c r="V71">
        <f>RANK(T71, T:T)</f>
        <v>201</v>
      </c>
      <c r="W71"/>
      <c r="X71">
        <v>53</v>
      </c>
      <c r="Y71">
        <v>379</v>
      </c>
      <c r="Z71" s="9" t="s">
        <v>30</v>
      </c>
      <c r="AA71">
        <f>X71+Y71</f>
        <v>432</v>
      </c>
    </row>
    <row r="72" spans="1:27" ht="14.4" x14ac:dyDescent="0.3">
      <c r="A72" s="3" t="s">
        <v>194</v>
      </c>
      <c r="B72" s="3" t="s">
        <v>27</v>
      </c>
      <c r="C72" s="11" t="s">
        <v>195</v>
      </c>
      <c r="D72" s="3" t="s">
        <v>45</v>
      </c>
      <c r="E72" s="21" t="s">
        <v>68</v>
      </c>
      <c r="F72" s="14">
        <v>2551</v>
      </c>
      <c r="G72" s="14">
        <v>915</v>
      </c>
      <c r="H72" s="14">
        <v>205</v>
      </c>
      <c r="I72" s="14">
        <v>30612</v>
      </c>
      <c r="J72" s="14">
        <v>30360</v>
      </c>
      <c r="K72" s="14">
        <v>227</v>
      </c>
      <c r="L72" s="4" t="s">
        <v>30</v>
      </c>
      <c r="M72" s="5" t="s">
        <v>25</v>
      </c>
      <c r="N72" s="17" t="s">
        <v>30</v>
      </c>
      <c r="Q72" s="25">
        <f>(F72+G72+H72)/I72</f>
        <v>0.1199202926956749</v>
      </c>
      <c r="R72" s="15">
        <f t="shared" si="1"/>
        <v>3671</v>
      </c>
      <c r="T72">
        <v>75</v>
      </c>
      <c r="U72" s="9" t="s">
        <v>62</v>
      </c>
      <c r="V72">
        <f>RANK(T72, T:T)</f>
        <v>254</v>
      </c>
      <c r="W72"/>
      <c r="X72">
        <v>4507</v>
      </c>
      <c r="Y72">
        <v>13</v>
      </c>
      <c r="Z72" s="9" t="s">
        <v>62</v>
      </c>
      <c r="AA72">
        <f>X72+Y72</f>
        <v>4520</v>
      </c>
    </row>
    <row r="73" spans="1:27" ht="14.4" x14ac:dyDescent="0.3">
      <c r="A73" s="3" t="s">
        <v>196</v>
      </c>
      <c r="B73" s="3" t="s">
        <v>27</v>
      </c>
      <c r="C73" s="11" t="s">
        <v>197</v>
      </c>
      <c r="D73" s="3" t="s">
        <v>16</v>
      </c>
      <c r="E73" s="21" t="s">
        <v>29</v>
      </c>
      <c r="F73" s="14">
        <v>296</v>
      </c>
      <c r="G73" s="14">
        <v>60</v>
      </c>
      <c r="H73" s="14">
        <v>141</v>
      </c>
      <c r="I73" s="14">
        <v>5624</v>
      </c>
      <c r="J73" s="14">
        <v>5239</v>
      </c>
      <c r="K73" s="14">
        <v>88</v>
      </c>
      <c r="L73" s="4" t="s">
        <v>37</v>
      </c>
      <c r="M73" s="5" t="s">
        <v>25</v>
      </c>
      <c r="N73" s="17" t="s">
        <v>37</v>
      </c>
      <c r="Q73" s="25">
        <f>(F73+G73+H73)/I73</f>
        <v>8.837126600284495E-2</v>
      </c>
      <c r="R73" s="15">
        <f t="shared" si="1"/>
        <v>497</v>
      </c>
      <c r="T73">
        <v>289</v>
      </c>
      <c r="U73" s="9" t="s">
        <v>37</v>
      </c>
      <c r="V73">
        <f>RANK(T73, T:T)</f>
        <v>10</v>
      </c>
      <c r="W73"/>
      <c r="X73">
        <v>2878</v>
      </c>
      <c r="Y73">
        <v>416</v>
      </c>
      <c r="Z73" s="9" t="s">
        <v>62</v>
      </c>
      <c r="AA73">
        <f>X73+Y73</f>
        <v>3294</v>
      </c>
    </row>
    <row r="74" spans="1:27" ht="14.4" x14ac:dyDescent="0.3">
      <c r="A74" s="3" t="s">
        <v>198</v>
      </c>
      <c r="B74" s="3" t="s">
        <v>43</v>
      </c>
      <c r="C74" s="11" t="s">
        <v>199</v>
      </c>
      <c r="D74" s="3" t="s">
        <v>35</v>
      </c>
      <c r="E74" s="21" t="s">
        <v>71</v>
      </c>
      <c r="F74" s="14">
        <v>4126</v>
      </c>
      <c r="G74" s="14">
        <v>426</v>
      </c>
      <c r="H74" s="14">
        <v>486</v>
      </c>
      <c r="I74" s="14">
        <v>78394</v>
      </c>
      <c r="J74" s="14">
        <v>77798</v>
      </c>
      <c r="K74" s="14">
        <v>88</v>
      </c>
      <c r="L74" s="4" t="s">
        <v>62</v>
      </c>
      <c r="M74" s="5" t="s">
        <v>38</v>
      </c>
      <c r="N74" s="17" t="s">
        <v>62</v>
      </c>
      <c r="Q74" s="25">
        <f>(F74+G74+H74)/I74</f>
        <v>6.4265122330790625E-2</v>
      </c>
      <c r="R74" s="15">
        <f t="shared" si="1"/>
        <v>5038</v>
      </c>
      <c r="T74">
        <v>184</v>
      </c>
      <c r="U74" s="9" t="s">
        <v>37</v>
      </c>
      <c r="V74">
        <f>RANK(T74, T:T)</f>
        <v>140</v>
      </c>
      <c r="W74"/>
      <c r="X74">
        <v>1881</v>
      </c>
      <c r="Y74">
        <v>99</v>
      </c>
      <c r="Z74" s="9" t="s">
        <v>37</v>
      </c>
      <c r="AA74">
        <f>X74+Y74</f>
        <v>1980</v>
      </c>
    </row>
    <row r="75" spans="1:27" ht="14.4" x14ac:dyDescent="0.3">
      <c r="A75" s="3" t="s">
        <v>200</v>
      </c>
      <c r="B75" s="3" t="s">
        <v>27</v>
      </c>
      <c r="C75" s="11" t="s">
        <v>201</v>
      </c>
      <c r="D75" s="3" t="s">
        <v>16</v>
      </c>
      <c r="E75" s="21" t="s">
        <v>29</v>
      </c>
      <c r="F75" s="14">
        <v>1855</v>
      </c>
      <c r="G75" s="14">
        <v>200</v>
      </c>
      <c r="H75" s="14">
        <v>174</v>
      </c>
      <c r="I75" s="14">
        <v>16695</v>
      </c>
      <c r="J75" s="14">
        <v>16330</v>
      </c>
      <c r="K75" s="14">
        <v>123</v>
      </c>
      <c r="L75" s="4" t="s">
        <v>30</v>
      </c>
      <c r="M75" s="5" t="s">
        <v>31</v>
      </c>
      <c r="N75" s="17" t="s">
        <v>30</v>
      </c>
      <c r="Q75" s="25">
        <f>(F75+G75+H75)/I75</f>
        <v>0.13351302785265048</v>
      </c>
      <c r="R75" s="15">
        <f t="shared" si="1"/>
        <v>2229</v>
      </c>
      <c r="T75">
        <v>100</v>
      </c>
      <c r="U75" s="9" t="s">
        <v>37</v>
      </c>
      <c r="V75">
        <f>RANK(T75, T:T)</f>
        <v>229</v>
      </c>
      <c r="W75"/>
      <c r="X75">
        <v>432</v>
      </c>
      <c r="Y75">
        <v>280</v>
      </c>
      <c r="Z75" s="9" t="s">
        <v>37</v>
      </c>
      <c r="AA75">
        <f>X75+Y75</f>
        <v>712</v>
      </c>
    </row>
    <row r="76" spans="1:27" ht="14.4" x14ac:dyDescent="0.3">
      <c r="A76" s="3" t="s">
        <v>202</v>
      </c>
      <c r="B76" s="3" t="s">
        <v>33</v>
      </c>
      <c r="C76" s="11" t="s">
        <v>203</v>
      </c>
      <c r="D76" s="3" t="s">
        <v>16</v>
      </c>
      <c r="E76" s="21" t="s">
        <v>82</v>
      </c>
      <c r="F76" s="14">
        <v>1674</v>
      </c>
      <c r="G76" s="14">
        <v>929</v>
      </c>
      <c r="H76" s="14">
        <v>37</v>
      </c>
      <c r="I76" s="14">
        <v>21762</v>
      </c>
      <c r="J76" s="14">
        <v>20998</v>
      </c>
      <c r="K76" s="14">
        <v>255</v>
      </c>
      <c r="L76" s="4" t="s">
        <v>30</v>
      </c>
      <c r="M76" s="5" t="s">
        <v>38</v>
      </c>
      <c r="N76" s="17" t="s">
        <v>30</v>
      </c>
      <c r="Q76" s="25">
        <f>(F76+G76+H76)/I76</f>
        <v>0.12131237937689551</v>
      </c>
      <c r="R76" s="15">
        <f t="shared" si="1"/>
        <v>2640</v>
      </c>
      <c r="T76">
        <v>73</v>
      </c>
      <c r="U76" s="9" t="s">
        <v>37</v>
      </c>
      <c r="V76">
        <f>RANK(T76, T:T)</f>
        <v>255</v>
      </c>
      <c r="W76"/>
      <c r="X76">
        <v>4712</v>
      </c>
      <c r="Y76">
        <v>127</v>
      </c>
      <c r="Z76" s="9" t="s">
        <v>37</v>
      </c>
      <c r="AA76">
        <f>X76+Y76</f>
        <v>4839</v>
      </c>
    </row>
    <row r="77" spans="1:27" ht="14.4" x14ac:dyDescent="0.3">
      <c r="A77" s="3" t="s">
        <v>204</v>
      </c>
      <c r="B77" s="3" t="s">
        <v>14</v>
      </c>
      <c r="C77" s="11" t="s">
        <v>205</v>
      </c>
      <c r="D77" s="3" t="s">
        <v>35</v>
      </c>
      <c r="E77" s="21" t="s">
        <v>149</v>
      </c>
      <c r="F77" s="14">
        <v>1121</v>
      </c>
      <c r="G77" s="14">
        <v>135</v>
      </c>
      <c r="H77" s="14">
        <v>18</v>
      </c>
      <c r="I77" s="14">
        <v>15694</v>
      </c>
      <c r="J77" s="14">
        <v>14957</v>
      </c>
      <c r="K77" s="14">
        <v>99</v>
      </c>
      <c r="L77" s="4" t="s">
        <v>30</v>
      </c>
      <c r="M77" s="5" t="s">
        <v>38</v>
      </c>
      <c r="N77" s="17" t="s">
        <v>30</v>
      </c>
      <c r="Q77" s="25">
        <f>(F77+G77+H77)/I77</f>
        <v>8.1177520071364848E-2</v>
      </c>
      <c r="R77" s="15">
        <f t="shared" si="1"/>
        <v>1274</v>
      </c>
      <c r="T77">
        <v>149</v>
      </c>
      <c r="U77" s="9" t="s">
        <v>62</v>
      </c>
      <c r="V77">
        <f>RANK(T77, T:T)</f>
        <v>174</v>
      </c>
      <c r="W77"/>
      <c r="X77">
        <v>2610</v>
      </c>
      <c r="Y77">
        <v>288</v>
      </c>
      <c r="Z77" s="9" t="s">
        <v>37</v>
      </c>
      <c r="AA77">
        <f>X77+Y77</f>
        <v>2898</v>
      </c>
    </row>
    <row r="78" spans="1:27" ht="14.4" x14ac:dyDescent="0.3">
      <c r="A78" s="3" t="s">
        <v>206</v>
      </c>
      <c r="B78" s="3" t="s">
        <v>43</v>
      </c>
      <c r="C78" s="11" t="s">
        <v>106</v>
      </c>
      <c r="D78" s="3" t="s">
        <v>35</v>
      </c>
      <c r="E78" s="21" t="s">
        <v>71</v>
      </c>
      <c r="F78" s="14">
        <v>1249</v>
      </c>
      <c r="G78" s="14">
        <v>116</v>
      </c>
      <c r="H78" s="14">
        <v>420</v>
      </c>
      <c r="I78" s="14">
        <v>8743</v>
      </c>
      <c r="J78" s="14">
        <v>8538</v>
      </c>
      <c r="K78" s="14">
        <v>63</v>
      </c>
      <c r="L78" s="4" t="s">
        <v>30</v>
      </c>
      <c r="M78" s="5"/>
      <c r="N78" s="17" t="s">
        <v>30</v>
      </c>
      <c r="Q78" s="25">
        <f>(F78+G78+H78)/I78</f>
        <v>0.20416333066453163</v>
      </c>
      <c r="R78" s="15">
        <f t="shared" si="1"/>
        <v>1785</v>
      </c>
      <c r="T78">
        <v>43</v>
      </c>
      <c r="U78" s="9" t="s">
        <v>30</v>
      </c>
      <c r="V78">
        <f>RANK(T78, T:T)</f>
        <v>285</v>
      </c>
      <c r="W78"/>
      <c r="X78">
        <v>1292</v>
      </c>
      <c r="Y78">
        <v>496</v>
      </c>
      <c r="Z78" s="9" t="s">
        <v>62</v>
      </c>
      <c r="AA78">
        <f>X78+Y78</f>
        <v>1788</v>
      </c>
    </row>
    <row r="79" spans="1:27" ht="14.4" x14ac:dyDescent="0.3">
      <c r="A79" s="3" t="s">
        <v>207</v>
      </c>
      <c r="B79" s="3" t="s">
        <v>14</v>
      </c>
      <c r="C79" s="11" t="s">
        <v>164</v>
      </c>
      <c r="D79" s="3" t="s">
        <v>52</v>
      </c>
      <c r="E79" s="21" t="s">
        <v>132</v>
      </c>
      <c r="F79" s="14">
        <v>954</v>
      </c>
      <c r="G79" s="14">
        <v>324</v>
      </c>
      <c r="H79" s="14">
        <v>288</v>
      </c>
      <c r="I79" s="14">
        <v>19080</v>
      </c>
      <c r="J79" s="14">
        <v>18859</v>
      </c>
      <c r="K79" s="14">
        <v>21</v>
      </c>
      <c r="L79" s="4" t="s">
        <v>62</v>
      </c>
      <c r="M79" s="5" t="s">
        <v>38</v>
      </c>
      <c r="N79" s="17" t="s">
        <v>62</v>
      </c>
      <c r="Q79" s="25">
        <f>(F79+G79+H79)/I79</f>
        <v>8.2075471698113203E-2</v>
      </c>
      <c r="R79" s="15">
        <f t="shared" si="1"/>
        <v>1566</v>
      </c>
      <c r="T79">
        <v>227</v>
      </c>
      <c r="U79" s="9" t="s">
        <v>30</v>
      </c>
      <c r="V79">
        <f>RANK(T79, T:T)</f>
        <v>83</v>
      </c>
      <c r="W79"/>
      <c r="X79">
        <v>199</v>
      </c>
      <c r="Y79">
        <v>400</v>
      </c>
      <c r="Z79" s="9" t="s">
        <v>30</v>
      </c>
      <c r="AA79">
        <f>X79+Y79</f>
        <v>599</v>
      </c>
    </row>
    <row r="80" spans="1:27" ht="14.4" x14ac:dyDescent="0.3">
      <c r="A80" s="3" t="s">
        <v>208</v>
      </c>
      <c r="B80" s="3" t="s">
        <v>33</v>
      </c>
      <c r="C80" s="11" t="s">
        <v>209</v>
      </c>
      <c r="D80" s="3" t="s">
        <v>45</v>
      </c>
      <c r="E80" s="21" t="s">
        <v>88</v>
      </c>
      <c r="F80" s="14">
        <v>3068</v>
      </c>
      <c r="G80" s="14">
        <v>137</v>
      </c>
      <c r="H80" s="14">
        <v>329</v>
      </c>
      <c r="I80" s="14">
        <v>39884</v>
      </c>
      <c r="J80" s="14">
        <v>39404</v>
      </c>
      <c r="K80" s="14">
        <v>266</v>
      </c>
      <c r="L80" s="4" t="s">
        <v>37</v>
      </c>
      <c r="M80" s="5" t="s">
        <v>25</v>
      </c>
      <c r="N80" s="17" t="s">
        <v>37</v>
      </c>
      <c r="Q80" s="25">
        <f>(F80+G80+H80)/I80</f>
        <v>8.860696018453515E-2</v>
      </c>
      <c r="R80" s="15">
        <f t="shared" si="1"/>
        <v>3534</v>
      </c>
      <c r="T80">
        <v>88</v>
      </c>
      <c r="U80" s="9" t="s">
        <v>37</v>
      </c>
      <c r="V80">
        <f>RANK(T80, T:T)</f>
        <v>238</v>
      </c>
      <c r="W80"/>
      <c r="X80">
        <v>2551</v>
      </c>
      <c r="Y80">
        <v>205</v>
      </c>
      <c r="Z80" s="9" t="s">
        <v>30</v>
      </c>
      <c r="AA80">
        <f>X80+Y80</f>
        <v>2756</v>
      </c>
    </row>
    <row r="81" spans="1:27" ht="14.4" x14ac:dyDescent="0.3">
      <c r="A81" s="3" t="s">
        <v>210</v>
      </c>
      <c r="B81" s="3" t="s">
        <v>33</v>
      </c>
      <c r="C81" s="11" t="s">
        <v>156</v>
      </c>
      <c r="D81" s="3" t="s">
        <v>35</v>
      </c>
      <c r="E81" s="21" t="s">
        <v>36</v>
      </c>
      <c r="F81" s="14">
        <v>2103</v>
      </c>
      <c r="G81" s="14">
        <v>892</v>
      </c>
      <c r="H81" s="14">
        <v>103</v>
      </c>
      <c r="I81" s="14">
        <v>39957</v>
      </c>
      <c r="J81" s="14">
        <v>39466</v>
      </c>
      <c r="K81" s="14">
        <v>28</v>
      </c>
      <c r="L81" s="4" t="s">
        <v>62</v>
      </c>
      <c r="M81" s="5"/>
      <c r="N81" s="17" t="s">
        <v>62</v>
      </c>
      <c r="Q81" s="25">
        <f>(F81+G81+H81)/I81</f>
        <v>7.7533348349475686E-2</v>
      </c>
      <c r="R81" s="15">
        <f t="shared" si="1"/>
        <v>3098</v>
      </c>
      <c r="T81">
        <v>88</v>
      </c>
      <c r="U81" s="9" t="s">
        <v>62</v>
      </c>
      <c r="V81">
        <f>RANK(T81, T:T)</f>
        <v>238</v>
      </c>
      <c r="W81"/>
      <c r="X81">
        <v>296</v>
      </c>
      <c r="Y81">
        <v>141</v>
      </c>
      <c r="Z81" s="9" t="s">
        <v>37</v>
      </c>
      <c r="AA81">
        <f>X81+Y81</f>
        <v>437</v>
      </c>
    </row>
    <row r="82" spans="1:27" ht="14.4" x14ac:dyDescent="0.3">
      <c r="A82" s="3" t="s">
        <v>211</v>
      </c>
      <c r="B82" s="3" t="s">
        <v>33</v>
      </c>
      <c r="C82" s="11" t="s">
        <v>212</v>
      </c>
      <c r="D82" s="3" t="s">
        <v>35</v>
      </c>
      <c r="E82" s="21" t="s">
        <v>36</v>
      </c>
      <c r="F82" s="14">
        <v>1816</v>
      </c>
      <c r="G82" s="14">
        <v>29</v>
      </c>
      <c r="H82" s="14">
        <v>41</v>
      </c>
      <c r="I82" s="14">
        <v>19976</v>
      </c>
      <c r="J82" s="14">
        <v>19262</v>
      </c>
      <c r="K82" s="14">
        <v>283</v>
      </c>
      <c r="L82" s="4" t="s">
        <v>30</v>
      </c>
      <c r="M82" s="5" t="s">
        <v>31</v>
      </c>
      <c r="N82" s="17" t="s">
        <v>30</v>
      </c>
      <c r="Q82" s="25">
        <f>(F82+G82+H82)/I82</f>
        <v>9.4413295955146179E-2</v>
      </c>
      <c r="R82" s="15">
        <f t="shared" si="1"/>
        <v>1886</v>
      </c>
      <c r="T82">
        <v>123</v>
      </c>
      <c r="U82" s="9" t="s">
        <v>30</v>
      </c>
      <c r="V82">
        <f>RANK(T82, T:T)</f>
        <v>202</v>
      </c>
      <c r="W82"/>
      <c r="X82">
        <v>4126</v>
      </c>
      <c r="Y82">
        <v>486</v>
      </c>
      <c r="Z82" s="9" t="s">
        <v>62</v>
      </c>
      <c r="AA82">
        <f>X82+Y82</f>
        <v>4612</v>
      </c>
    </row>
    <row r="83" spans="1:27" ht="14.4" x14ac:dyDescent="0.3">
      <c r="A83" s="3" t="s">
        <v>213</v>
      </c>
      <c r="B83" s="3" t="s">
        <v>33</v>
      </c>
      <c r="C83" s="11" t="s">
        <v>214</v>
      </c>
      <c r="D83" s="3" t="s">
        <v>52</v>
      </c>
      <c r="E83" s="21" t="s">
        <v>215</v>
      </c>
      <c r="F83" s="14">
        <v>725</v>
      </c>
      <c r="G83" s="14">
        <v>88</v>
      </c>
      <c r="H83" s="14">
        <v>428</v>
      </c>
      <c r="I83" s="14">
        <v>14500</v>
      </c>
      <c r="J83" s="14">
        <v>13637</v>
      </c>
      <c r="K83" s="14">
        <v>200</v>
      </c>
      <c r="L83" s="4" t="s">
        <v>216</v>
      </c>
      <c r="M83" s="5" t="s">
        <v>31</v>
      </c>
      <c r="N83" s="17" t="s">
        <v>62</v>
      </c>
      <c r="O83" s="17" t="s">
        <v>30</v>
      </c>
      <c r="P83" s="17" t="s">
        <v>593</v>
      </c>
      <c r="Q83" s="25">
        <f>(F83+G83+H83)/I83</f>
        <v>8.558620689655172E-2</v>
      </c>
      <c r="R83" s="15">
        <f t="shared" si="1"/>
        <v>1241</v>
      </c>
      <c r="T83">
        <v>255</v>
      </c>
      <c r="U83" s="9" t="s">
        <v>30</v>
      </c>
      <c r="V83">
        <f>RANK(T83, T:T)</f>
        <v>41</v>
      </c>
      <c r="W83"/>
      <c r="X83">
        <v>1855</v>
      </c>
      <c r="Y83">
        <v>174</v>
      </c>
      <c r="Z83" s="9" t="s">
        <v>30</v>
      </c>
      <c r="AA83">
        <f>X83+Y83</f>
        <v>2029</v>
      </c>
    </row>
    <row r="84" spans="1:27" ht="14.4" x14ac:dyDescent="0.3">
      <c r="A84" s="3" t="s">
        <v>217</v>
      </c>
      <c r="B84" s="3" t="s">
        <v>27</v>
      </c>
      <c r="C84" s="11" t="s">
        <v>218</v>
      </c>
      <c r="D84" s="3" t="s">
        <v>74</v>
      </c>
      <c r="E84" s="21" t="s">
        <v>219</v>
      </c>
      <c r="F84" s="14">
        <v>1094</v>
      </c>
      <c r="G84" s="14">
        <v>472</v>
      </c>
      <c r="H84" s="14">
        <v>21</v>
      </c>
      <c r="I84" s="14">
        <v>9846</v>
      </c>
      <c r="J84" s="14">
        <v>9609</v>
      </c>
      <c r="K84" s="14">
        <v>112</v>
      </c>
      <c r="L84" s="4" t="s">
        <v>37</v>
      </c>
      <c r="M84" s="5"/>
      <c r="N84" s="17" t="s">
        <v>37</v>
      </c>
      <c r="Q84" s="25">
        <f>(F84+G84+H84)/I84</f>
        <v>0.16118220597196831</v>
      </c>
      <c r="R84" s="15">
        <f t="shared" si="1"/>
        <v>1587</v>
      </c>
      <c r="T84">
        <v>99</v>
      </c>
      <c r="U84" s="9" t="s">
        <v>30</v>
      </c>
      <c r="V84">
        <f>RANK(T84, T:T)</f>
        <v>230</v>
      </c>
      <c r="W84"/>
      <c r="X84">
        <v>1674</v>
      </c>
      <c r="Y84">
        <v>37</v>
      </c>
      <c r="Z84" s="9" t="s">
        <v>30</v>
      </c>
      <c r="AA84">
        <f>X84+Y84</f>
        <v>1711</v>
      </c>
    </row>
    <row r="85" spans="1:27" ht="14.4" x14ac:dyDescent="0.3">
      <c r="A85" s="3" t="s">
        <v>220</v>
      </c>
      <c r="B85" s="3" t="s">
        <v>43</v>
      </c>
      <c r="C85" s="11" t="s">
        <v>221</v>
      </c>
      <c r="D85" s="3" t="s">
        <v>52</v>
      </c>
      <c r="E85" s="21" t="s">
        <v>59</v>
      </c>
      <c r="F85" s="14">
        <v>1841</v>
      </c>
      <c r="G85" s="14">
        <v>851</v>
      </c>
      <c r="H85" s="14">
        <v>342</v>
      </c>
      <c r="I85" s="14">
        <v>34979</v>
      </c>
      <c r="J85" s="14">
        <v>34154</v>
      </c>
      <c r="K85" s="14">
        <v>255</v>
      </c>
      <c r="L85" s="4" t="s">
        <v>62</v>
      </c>
      <c r="M85" s="5" t="s">
        <v>38</v>
      </c>
      <c r="N85" s="17" t="s">
        <v>62</v>
      </c>
      <c r="Q85" s="25">
        <f>(F85+G85+H85)/I85</f>
        <v>8.6737756939878216E-2</v>
      </c>
      <c r="R85" s="15">
        <f t="shared" si="1"/>
        <v>3034</v>
      </c>
      <c r="T85">
        <v>63</v>
      </c>
      <c r="U85" s="9" t="s">
        <v>30</v>
      </c>
      <c r="V85">
        <f>RANK(T85, T:T)</f>
        <v>263</v>
      </c>
      <c r="W85"/>
      <c r="X85">
        <v>1121</v>
      </c>
      <c r="Y85">
        <v>18</v>
      </c>
      <c r="Z85" s="9" t="s">
        <v>30</v>
      </c>
      <c r="AA85">
        <f>X85+Y85</f>
        <v>1139</v>
      </c>
    </row>
    <row r="86" spans="1:27" ht="14.4" x14ac:dyDescent="0.3">
      <c r="A86" s="3" t="s">
        <v>222</v>
      </c>
      <c r="B86" s="3" t="s">
        <v>33</v>
      </c>
      <c r="C86" s="11" t="s">
        <v>123</v>
      </c>
      <c r="D86" s="3" t="s">
        <v>52</v>
      </c>
      <c r="E86" s="21" t="s">
        <v>215</v>
      </c>
      <c r="F86" s="14">
        <v>4177</v>
      </c>
      <c r="G86" s="14">
        <v>569</v>
      </c>
      <c r="H86" s="14">
        <v>55</v>
      </c>
      <c r="I86" s="14">
        <v>25062</v>
      </c>
      <c r="J86" s="14">
        <v>24847</v>
      </c>
      <c r="K86" s="14">
        <v>230</v>
      </c>
      <c r="L86" s="4" t="s">
        <v>62</v>
      </c>
      <c r="M86" s="5" t="s">
        <v>19</v>
      </c>
      <c r="N86" s="17" t="s">
        <v>62</v>
      </c>
      <c r="Q86" s="25">
        <f>(F86+G86+H86)/I86</f>
        <v>0.19156491900087783</v>
      </c>
      <c r="R86" s="15">
        <f t="shared" si="1"/>
        <v>4801</v>
      </c>
      <c r="T86">
        <v>21</v>
      </c>
      <c r="U86" s="9" t="s">
        <v>62</v>
      </c>
      <c r="V86">
        <f>RANK(T86, T:T)</f>
        <v>314</v>
      </c>
      <c r="W86"/>
      <c r="X86">
        <v>1249</v>
      </c>
      <c r="Y86">
        <v>420</v>
      </c>
      <c r="Z86" s="9" t="s">
        <v>30</v>
      </c>
      <c r="AA86">
        <f>X86+Y86</f>
        <v>1669</v>
      </c>
    </row>
    <row r="87" spans="1:27" ht="14.4" x14ac:dyDescent="0.3">
      <c r="A87" s="3" t="s">
        <v>223</v>
      </c>
      <c r="B87" s="3" t="s">
        <v>27</v>
      </c>
      <c r="C87" s="11" t="s">
        <v>224</v>
      </c>
      <c r="D87" s="3" t="s">
        <v>22</v>
      </c>
      <c r="E87" s="21" t="s">
        <v>104</v>
      </c>
      <c r="F87" s="14">
        <v>3428</v>
      </c>
      <c r="G87" s="14">
        <v>305</v>
      </c>
      <c r="H87" s="14">
        <v>85</v>
      </c>
      <c r="I87" s="14">
        <v>58276</v>
      </c>
      <c r="J87" s="14">
        <v>58052</v>
      </c>
      <c r="K87" s="14">
        <v>242</v>
      </c>
      <c r="L87" s="4" t="s">
        <v>160</v>
      </c>
      <c r="M87" s="5" t="s">
        <v>38</v>
      </c>
      <c r="N87" s="17" t="s">
        <v>37</v>
      </c>
      <c r="O87" s="17" t="s">
        <v>594</v>
      </c>
      <c r="Q87" s="25">
        <f>(F87+G87+H87)/I87</f>
        <v>6.5515821264328367E-2</v>
      </c>
      <c r="R87" s="15">
        <f t="shared" si="1"/>
        <v>3818</v>
      </c>
      <c r="T87">
        <v>266</v>
      </c>
      <c r="U87" s="9" t="s">
        <v>37</v>
      </c>
      <c r="V87">
        <f>RANK(T87, T:T)</f>
        <v>33</v>
      </c>
      <c r="W87"/>
      <c r="X87">
        <v>954</v>
      </c>
      <c r="Y87">
        <v>288</v>
      </c>
      <c r="Z87" s="9" t="s">
        <v>62</v>
      </c>
      <c r="AA87">
        <f>X87+Y87</f>
        <v>1242</v>
      </c>
    </row>
    <row r="88" spans="1:27" ht="14.4" x14ac:dyDescent="0.3">
      <c r="A88" s="3" t="s">
        <v>225</v>
      </c>
      <c r="B88" s="3" t="s">
        <v>14</v>
      </c>
      <c r="C88" s="11" t="s">
        <v>226</v>
      </c>
      <c r="D88" s="3" t="s">
        <v>74</v>
      </c>
      <c r="E88" s="21" t="s">
        <v>145</v>
      </c>
      <c r="F88" s="14">
        <v>1436</v>
      </c>
      <c r="G88" s="14">
        <v>765</v>
      </c>
      <c r="H88" s="14">
        <v>496</v>
      </c>
      <c r="I88" s="14">
        <v>12924</v>
      </c>
      <c r="J88" s="14">
        <v>12701</v>
      </c>
      <c r="K88" s="14">
        <v>197</v>
      </c>
      <c r="L88" s="4" t="s">
        <v>62</v>
      </c>
      <c r="M88" s="5" t="s">
        <v>31</v>
      </c>
      <c r="N88" s="17" t="s">
        <v>62</v>
      </c>
      <c r="Q88" s="25">
        <f>(F88+G88+H88)/I88</f>
        <v>0.20868152274837512</v>
      </c>
      <c r="R88" s="15">
        <f t="shared" si="1"/>
        <v>2697</v>
      </c>
      <c r="T88">
        <v>28</v>
      </c>
      <c r="U88" s="9" t="s">
        <v>62</v>
      </c>
      <c r="V88">
        <f>RANK(T88, T:T)</f>
        <v>303</v>
      </c>
      <c r="W88"/>
      <c r="X88">
        <v>3068</v>
      </c>
      <c r="Y88">
        <v>329</v>
      </c>
      <c r="Z88" s="9" t="s">
        <v>37</v>
      </c>
      <c r="AA88">
        <f>X88+Y88</f>
        <v>3397</v>
      </c>
    </row>
    <row r="89" spans="1:27" ht="14.4" x14ac:dyDescent="0.3">
      <c r="A89" s="3" t="s">
        <v>227</v>
      </c>
      <c r="B89" s="3" t="s">
        <v>43</v>
      </c>
      <c r="C89" s="11" t="s">
        <v>228</v>
      </c>
      <c r="D89" s="3" t="s">
        <v>35</v>
      </c>
      <c r="E89" s="21" t="s">
        <v>71</v>
      </c>
      <c r="F89" s="14">
        <v>302</v>
      </c>
      <c r="G89" s="14">
        <v>47</v>
      </c>
      <c r="H89" s="14">
        <v>430</v>
      </c>
      <c r="I89" s="14">
        <v>5738</v>
      </c>
      <c r="J89" s="14">
        <v>4890</v>
      </c>
      <c r="K89" s="14">
        <v>25</v>
      </c>
      <c r="L89" s="4" t="s">
        <v>30</v>
      </c>
      <c r="M89" s="5" t="s">
        <v>38</v>
      </c>
      <c r="N89" s="17" t="s">
        <v>30</v>
      </c>
      <c r="Q89" s="25">
        <f>(F89+G89+H89)/I89</f>
        <v>0.13576158940397351</v>
      </c>
      <c r="R89" s="15">
        <f t="shared" si="1"/>
        <v>779</v>
      </c>
      <c r="T89">
        <v>283</v>
      </c>
      <c r="U89" s="9" t="s">
        <v>30</v>
      </c>
      <c r="V89">
        <f>RANK(T89, T:T)</f>
        <v>14</v>
      </c>
      <c r="W89"/>
      <c r="X89">
        <v>2103</v>
      </c>
      <c r="Y89">
        <v>103</v>
      </c>
      <c r="Z89" s="9" t="s">
        <v>62</v>
      </c>
      <c r="AA89">
        <f>X89+Y89</f>
        <v>2206</v>
      </c>
    </row>
    <row r="90" spans="1:27" ht="14.4" x14ac:dyDescent="0.3">
      <c r="A90" s="3" t="s">
        <v>229</v>
      </c>
      <c r="B90" s="3" t="s">
        <v>14</v>
      </c>
      <c r="C90" s="11" t="s">
        <v>230</v>
      </c>
      <c r="D90" s="3" t="s">
        <v>52</v>
      </c>
      <c r="E90" s="21" t="s">
        <v>132</v>
      </c>
      <c r="F90" s="14">
        <v>2214</v>
      </c>
      <c r="G90" s="14">
        <v>249</v>
      </c>
      <c r="H90" s="14">
        <v>152</v>
      </c>
      <c r="I90" s="14">
        <v>15498</v>
      </c>
      <c r="J90" s="14">
        <v>14800</v>
      </c>
      <c r="K90" s="14">
        <v>180</v>
      </c>
      <c r="L90" s="4" t="s">
        <v>37</v>
      </c>
      <c r="M90" s="5"/>
      <c r="N90" s="17" t="s">
        <v>37</v>
      </c>
      <c r="Q90" s="25">
        <f>(F90+G90+H90)/I90</f>
        <v>0.16873144921925409</v>
      </c>
      <c r="R90" s="15">
        <f t="shared" si="1"/>
        <v>2615</v>
      </c>
      <c r="T90">
        <v>200</v>
      </c>
      <c r="U90" s="9" t="s">
        <v>62</v>
      </c>
      <c r="V90">
        <f>RANK(T90, T:T)</f>
        <v>117</v>
      </c>
      <c r="W90"/>
      <c r="X90">
        <v>1816</v>
      </c>
      <c r="Y90">
        <v>41</v>
      </c>
      <c r="Z90" s="9" t="s">
        <v>30</v>
      </c>
      <c r="AA90">
        <f>X90+Y90</f>
        <v>1857</v>
      </c>
    </row>
    <row r="91" spans="1:27" ht="14.4" x14ac:dyDescent="0.3">
      <c r="A91" s="3" t="s">
        <v>231</v>
      </c>
      <c r="B91" s="3" t="s">
        <v>33</v>
      </c>
      <c r="C91" s="11" t="s">
        <v>232</v>
      </c>
      <c r="D91" s="3" t="s">
        <v>52</v>
      </c>
      <c r="E91" s="21" t="s">
        <v>215</v>
      </c>
      <c r="F91" s="14">
        <v>3861</v>
      </c>
      <c r="G91" s="14">
        <v>960</v>
      </c>
      <c r="H91" s="14">
        <v>101</v>
      </c>
      <c r="I91" s="14">
        <v>69498</v>
      </c>
      <c r="J91" s="14">
        <v>68817</v>
      </c>
      <c r="K91" s="14">
        <v>297</v>
      </c>
      <c r="L91" s="4" t="s">
        <v>30</v>
      </c>
      <c r="M91" s="5" t="s">
        <v>38</v>
      </c>
      <c r="N91" s="17" t="s">
        <v>30</v>
      </c>
      <c r="Q91" s="25">
        <f>(F91+G91+H91)/I91</f>
        <v>7.0822181933293038E-2</v>
      </c>
      <c r="R91" s="15">
        <f t="shared" si="1"/>
        <v>4922</v>
      </c>
      <c r="T91">
        <v>200</v>
      </c>
      <c r="U91" s="9" t="s">
        <v>30</v>
      </c>
      <c r="V91">
        <f>RANK(T91, T:T)</f>
        <v>117</v>
      </c>
      <c r="W91"/>
      <c r="X91">
        <v>725</v>
      </c>
      <c r="Y91">
        <v>428</v>
      </c>
      <c r="Z91" s="9" t="s">
        <v>62</v>
      </c>
      <c r="AA91">
        <f>X91+Y91</f>
        <v>1153</v>
      </c>
    </row>
    <row r="92" spans="1:27" ht="14.4" x14ac:dyDescent="0.3">
      <c r="A92" s="3" t="s">
        <v>233</v>
      </c>
      <c r="B92" s="3" t="s">
        <v>43</v>
      </c>
      <c r="C92" s="11" t="s">
        <v>234</v>
      </c>
      <c r="D92" s="3" t="s">
        <v>52</v>
      </c>
      <c r="E92" s="21" t="s">
        <v>59</v>
      </c>
      <c r="F92" s="14">
        <v>1263</v>
      </c>
      <c r="G92" s="14">
        <v>397</v>
      </c>
      <c r="H92" s="14">
        <v>357</v>
      </c>
      <c r="I92" s="14">
        <v>25260</v>
      </c>
      <c r="J92" s="14">
        <v>24615</v>
      </c>
      <c r="K92" s="14">
        <v>137</v>
      </c>
      <c r="L92" s="4" t="s">
        <v>37</v>
      </c>
      <c r="M92" s="5" t="s">
        <v>38</v>
      </c>
      <c r="N92" s="17" t="s">
        <v>37</v>
      </c>
      <c r="Q92" s="25">
        <f>(F92+G92+H92)/I92</f>
        <v>7.984956452889945E-2</v>
      </c>
      <c r="R92" s="15">
        <f t="shared" si="1"/>
        <v>2017</v>
      </c>
      <c r="T92">
        <v>200</v>
      </c>
      <c r="U92" s="9" t="s">
        <v>593</v>
      </c>
      <c r="V92">
        <f>RANK(T92, T:T)</f>
        <v>117</v>
      </c>
      <c r="W92"/>
      <c r="X92">
        <v>725</v>
      </c>
      <c r="Y92">
        <v>428</v>
      </c>
      <c r="Z92" s="9" t="s">
        <v>30</v>
      </c>
      <c r="AA92">
        <f>X92+Y92</f>
        <v>1153</v>
      </c>
    </row>
    <row r="93" spans="1:27" ht="14.4" x14ac:dyDescent="0.3">
      <c r="A93" s="3" t="s">
        <v>235</v>
      </c>
      <c r="B93" s="3" t="s">
        <v>14</v>
      </c>
      <c r="C93" s="11" t="s">
        <v>168</v>
      </c>
      <c r="D93" s="3" t="s">
        <v>35</v>
      </c>
      <c r="E93" s="21" t="s">
        <v>149</v>
      </c>
      <c r="F93" s="14">
        <v>3801</v>
      </c>
      <c r="G93" s="14">
        <v>967</v>
      </c>
      <c r="H93" s="14">
        <v>401</v>
      </c>
      <c r="I93" s="14">
        <v>38010</v>
      </c>
      <c r="J93" s="14">
        <v>37625</v>
      </c>
      <c r="K93" s="14">
        <v>236</v>
      </c>
      <c r="L93" s="4" t="s">
        <v>62</v>
      </c>
      <c r="M93" s="5" t="s">
        <v>31</v>
      </c>
      <c r="N93" s="17" t="s">
        <v>62</v>
      </c>
      <c r="Q93" s="25">
        <f>(F93+G93+H93)/I93</f>
        <v>0.13599052880820836</v>
      </c>
      <c r="R93" s="15">
        <f t="shared" si="1"/>
        <v>5169</v>
      </c>
      <c r="T93">
        <v>112</v>
      </c>
      <c r="U93" s="9" t="s">
        <v>37</v>
      </c>
      <c r="V93">
        <f>RANK(T93, T:T)</f>
        <v>220</v>
      </c>
      <c r="W93"/>
      <c r="X93">
        <v>725</v>
      </c>
      <c r="Y93">
        <v>428</v>
      </c>
      <c r="Z93" s="9" t="s">
        <v>593</v>
      </c>
      <c r="AA93">
        <f>X93+Y93</f>
        <v>1153</v>
      </c>
    </row>
    <row r="94" spans="1:27" ht="14.4" x14ac:dyDescent="0.3">
      <c r="A94" s="3" t="s">
        <v>236</v>
      </c>
      <c r="B94" s="3" t="s">
        <v>33</v>
      </c>
      <c r="C94" s="11" t="s">
        <v>237</v>
      </c>
      <c r="D94" s="3" t="s">
        <v>74</v>
      </c>
      <c r="E94" s="21" t="s">
        <v>85</v>
      </c>
      <c r="F94" s="14">
        <v>1431</v>
      </c>
      <c r="G94" s="14">
        <v>951</v>
      </c>
      <c r="H94" s="14">
        <v>26</v>
      </c>
      <c r="I94" s="14">
        <v>8586</v>
      </c>
      <c r="J94" s="14">
        <v>8396</v>
      </c>
      <c r="K94" s="14">
        <v>150</v>
      </c>
      <c r="L94" s="4" t="s">
        <v>37</v>
      </c>
      <c r="M94" s="5" t="s">
        <v>31</v>
      </c>
      <c r="N94" s="17" t="s">
        <v>37</v>
      </c>
      <c r="Q94" s="25">
        <f>(F94+G94+H94)/I94</f>
        <v>0.28045655718611695</v>
      </c>
      <c r="R94" s="15">
        <f t="shared" si="1"/>
        <v>2408</v>
      </c>
      <c r="T94">
        <v>255</v>
      </c>
      <c r="U94" s="9" t="s">
        <v>62</v>
      </c>
      <c r="V94">
        <f>RANK(T94, T:T)</f>
        <v>41</v>
      </c>
      <c r="W94"/>
      <c r="X94">
        <v>1094</v>
      </c>
      <c r="Y94">
        <v>21</v>
      </c>
      <c r="Z94" s="9" t="s">
        <v>37</v>
      </c>
      <c r="AA94">
        <f>X94+Y94</f>
        <v>1115</v>
      </c>
    </row>
    <row r="95" spans="1:27" ht="14.4" x14ac:dyDescent="0.3">
      <c r="A95" s="3" t="s">
        <v>238</v>
      </c>
      <c r="B95" s="3" t="s">
        <v>33</v>
      </c>
      <c r="C95" s="11" t="s">
        <v>205</v>
      </c>
      <c r="D95" s="3" t="s">
        <v>52</v>
      </c>
      <c r="E95" s="21" t="s">
        <v>215</v>
      </c>
      <c r="F95" s="14">
        <v>2647</v>
      </c>
      <c r="G95" s="14">
        <v>304</v>
      </c>
      <c r="H95" s="14">
        <v>170</v>
      </c>
      <c r="I95" s="14">
        <v>18529</v>
      </c>
      <c r="J95" s="14">
        <v>17841</v>
      </c>
      <c r="K95" s="14">
        <v>46</v>
      </c>
      <c r="L95" s="4" t="s">
        <v>62</v>
      </c>
      <c r="M95" s="5" t="s">
        <v>31</v>
      </c>
      <c r="N95" s="17" t="s">
        <v>62</v>
      </c>
      <c r="Q95" s="25">
        <f>(F95+G95+H95)/I95</f>
        <v>0.16843866371633656</v>
      </c>
      <c r="R95" s="15">
        <f t="shared" si="1"/>
        <v>3121</v>
      </c>
      <c r="T95">
        <v>230</v>
      </c>
      <c r="U95" s="9" t="s">
        <v>62</v>
      </c>
      <c r="V95">
        <f>RANK(T95, T:T)</f>
        <v>79</v>
      </c>
      <c r="W95"/>
      <c r="X95">
        <v>1841</v>
      </c>
      <c r="Y95">
        <v>342</v>
      </c>
      <c r="Z95" s="9" t="s">
        <v>62</v>
      </c>
      <c r="AA95">
        <f>X95+Y95</f>
        <v>2183</v>
      </c>
    </row>
    <row r="96" spans="1:27" ht="14.4" x14ac:dyDescent="0.3">
      <c r="A96" s="3" t="s">
        <v>239</v>
      </c>
      <c r="B96" s="3" t="s">
        <v>33</v>
      </c>
      <c r="C96" s="11" t="s">
        <v>240</v>
      </c>
      <c r="D96" s="3" t="s">
        <v>22</v>
      </c>
      <c r="E96" s="21" t="s">
        <v>113</v>
      </c>
      <c r="F96" s="14">
        <v>3182</v>
      </c>
      <c r="G96" s="14">
        <v>559</v>
      </c>
      <c r="H96" s="14">
        <v>160</v>
      </c>
      <c r="I96" s="14">
        <v>57276</v>
      </c>
      <c r="J96" s="14">
        <v>56890</v>
      </c>
      <c r="K96" s="14">
        <v>163</v>
      </c>
      <c r="L96" s="4" t="s">
        <v>62</v>
      </c>
      <c r="M96" s="5" t="s">
        <v>38</v>
      </c>
      <c r="N96" s="17" t="s">
        <v>62</v>
      </c>
      <c r="Q96" s="25">
        <f>(F96+G96+H96)/I96</f>
        <v>6.8108806480899509E-2</v>
      </c>
      <c r="R96" s="15">
        <f t="shared" si="1"/>
        <v>3901</v>
      </c>
      <c r="T96">
        <v>242</v>
      </c>
      <c r="U96" s="9" t="s">
        <v>37</v>
      </c>
      <c r="V96">
        <f>RANK(T96, T:T)</f>
        <v>53</v>
      </c>
      <c r="W96"/>
      <c r="X96">
        <v>4177</v>
      </c>
      <c r="Y96">
        <v>55</v>
      </c>
      <c r="Z96" s="9" t="s">
        <v>62</v>
      </c>
      <c r="AA96">
        <f>X96+Y96</f>
        <v>4232</v>
      </c>
    </row>
    <row r="97" spans="1:27" ht="14.4" x14ac:dyDescent="0.3">
      <c r="A97" s="3" t="s">
        <v>241</v>
      </c>
      <c r="B97" s="3" t="s">
        <v>14</v>
      </c>
      <c r="C97" s="11" t="s">
        <v>242</v>
      </c>
      <c r="D97" s="3" t="s">
        <v>52</v>
      </c>
      <c r="E97" s="21" t="s">
        <v>132</v>
      </c>
      <c r="F97" s="14">
        <v>1238</v>
      </c>
      <c r="G97" s="14">
        <v>366</v>
      </c>
      <c r="H97" s="14">
        <v>444</v>
      </c>
      <c r="I97" s="14">
        <v>19808</v>
      </c>
      <c r="J97" s="14">
        <v>19334</v>
      </c>
      <c r="K97" s="14">
        <v>123</v>
      </c>
      <c r="L97" s="4" t="s">
        <v>62</v>
      </c>
      <c r="M97" s="5"/>
      <c r="N97" s="17" t="s">
        <v>62</v>
      </c>
      <c r="Q97" s="25">
        <f>(F97+G97+H97)/I97</f>
        <v>0.10339256865912763</v>
      </c>
      <c r="R97" s="15">
        <f t="shared" si="1"/>
        <v>2048</v>
      </c>
      <c r="T97">
        <v>242</v>
      </c>
      <c r="U97" s="9" t="s">
        <v>594</v>
      </c>
      <c r="V97">
        <f>RANK(T97, T:T)</f>
        <v>53</v>
      </c>
      <c r="W97"/>
      <c r="X97">
        <v>3428</v>
      </c>
      <c r="Y97">
        <v>85</v>
      </c>
      <c r="Z97" s="9" t="s">
        <v>37</v>
      </c>
      <c r="AA97">
        <f>X97+Y97</f>
        <v>3513</v>
      </c>
    </row>
    <row r="98" spans="1:27" ht="14.4" x14ac:dyDescent="0.3">
      <c r="A98" s="3" t="s">
        <v>243</v>
      </c>
      <c r="B98" s="3" t="s">
        <v>33</v>
      </c>
      <c r="C98" s="11" t="s">
        <v>244</v>
      </c>
      <c r="D98" s="3" t="s">
        <v>52</v>
      </c>
      <c r="E98" s="21" t="s">
        <v>215</v>
      </c>
      <c r="F98" s="14">
        <v>4739</v>
      </c>
      <c r="G98" s="14">
        <v>527</v>
      </c>
      <c r="H98" s="14">
        <v>135</v>
      </c>
      <c r="I98" s="14">
        <v>61607</v>
      </c>
      <c r="J98" s="14">
        <v>61333</v>
      </c>
      <c r="K98" s="14">
        <v>36</v>
      </c>
      <c r="L98" s="4" t="s">
        <v>95</v>
      </c>
      <c r="M98" s="5" t="s">
        <v>25</v>
      </c>
      <c r="N98" s="17" t="s">
        <v>30</v>
      </c>
      <c r="O98" s="17" t="s">
        <v>593</v>
      </c>
      <c r="Q98" s="25">
        <f>(F98+G98+H98)/I98</f>
        <v>8.7668609086629767E-2</v>
      </c>
      <c r="R98" s="15">
        <f t="shared" si="1"/>
        <v>5401</v>
      </c>
      <c r="T98">
        <v>197</v>
      </c>
      <c r="U98" s="9" t="s">
        <v>62</v>
      </c>
      <c r="V98">
        <f>RANK(T98, T:T)</f>
        <v>124</v>
      </c>
      <c r="W98"/>
      <c r="X98">
        <v>3428</v>
      </c>
      <c r="Y98">
        <v>85</v>
      </c>
      <c r="Z98" s="9" t="s">
        <v>594</v>
      </c>
      <c r="AA98">
        <f>X98+Y98</f>
        <v>3513</v>
      </c>
    </row>
    <row r="99" spans="1:27" ht="14.4" x14ac:dyDescent="0.3">
      <c r="A99" s="3" t="s">
        <v>245</v>
      </c>
      <c r="B99" s="3" t="s">
        <v>27</v>
      </c>
      <c r="C99" s="11" t="s">
        <v>246</v>
      </c>
      <c r="D99" s="3" t="s">
        <v>45</v>
      </c>
      <c r="E99" s="21" t="s">
        <v>68</v>
      </c>
      <c r="F99" s="14">
        <v>4171</v>
      </c>
      <c r="G99" s="14">
        <v>548</v>
      </c>
      <c r="H99" s="14">
        <v>86</v>
      </c>
      <c r="I99" s="14">
        <v>66736</v>
      </c>
      <c r="J99" s="14">
        <v>66634</v>
      </c>
      <c r="K99" s="14">
        <v>173</v>
      </c>
      <c r="L99" s="4" t="s">
        <v>62</v>
      </c>
      <c r="M99" s="5" t="s">
        <v>31</v>
      </c>
      <c r="N99" s="17" t="s">
        <v>62</v>
      </c>
      <c r="Q99" s="25">
        <f>(F99+G99+H99)/I99</f>
        <v>7.2000119875329657E-2</v>
      </c>
      <c r="R99" s="15">
        <f t="shared" si="1"/>
        <v>4805</v>
      </c>
      <c r="T99">
        <v>25</v>
      </c>
      <c r="U99" s="9" t="s">
        <v>30</v>
      </c>
      <c r="V99">
        <f>RANK(T99, T:T)</f>
        <v>304</v>
      </c>
      <c r="W99"/>
      <c r="X99">
        <v>1436</v>
      </c>
      <c r="Y99">
        <v>496</v>
      </c>
      <c r="Z99" s="9" t="s">
        <v>62</v>
      </c>
      <c r="AA99">
        <f>X99+Y99</f>
        <v>1932</v>
      </c>
    </row>
    <row r="100" spans="1:27" ht="14.4" x14ac:dyDescent="0.3">
      <c r="A100" s="3" t="s">
        <v>247</v>
      </c>
      <c r="B100" s="3" t="s">
        <v>27</v>
      </c>
      <c r="C100" s="11" t="s">
        <v>248</v>
      </c>
      <c r="D100" s="3" t="s">
        <v>74</v>
      </c>
      <c r="E100" s="21" t="s">
        <v>219</v>
      </c>
      <c r="F100" s="14">
        <v>1766</v>
      </c>
      <c r="G100" s="14">
        <v>92</v>
      </c>
      <c r="H100" s="14">
        <v>424</v>
      </c>
      <c r="I100" s="14">
        <v>24724</v>
      </c>
      <c r="J100" s="14">
        <v>24333</v>
      </c>
      <c r="K100" s="14">
        <v>52</v>
      </c>
      <c r="L100" s="4" t="s">
        <v>37</v>
      </c>
      <c r="M100" s="5"/>
      <c r="N100" s="17" t="s">
        <v>37</v>
      </c>
      <c r="Q100" s="25">
        <f>(F100+G100+H100)/I100</f>
        <v>9.2298980747451867E-2</v>
      </c>
      <c r="R100" s="15">
        <f t="shared" si="1"/>
        <v>2282</v>
      </c>
      <c r="T100">
        <v>180</v>
      </c>
      <c r="U100" s="9" t="s">
        <v>37</v>
      </c>
      <c r="V100">
        <f>RANK(T100, T:T)</f>
        <v>143</v>
      </c>
      <c r="W100"/>
      <c r="X100">
        <v>302</v>
      </c>
      <c r="Y100">
        <v>430</v>
      </c>
      <c r="Z100" s="9" t="s">
        <v>30</v>
      </c>
      <c r="AA100">
        <f>X100+Y100</f>
        <v>732</v>
      </c>
    </row>
    <row r="101" spans="1:27" ht="14.4" x14ac:dyDescent="0.3">
      <c r="A101" s="3" t="s">
        <v>249</v>
      </c>
      <c r="B101" s="3" t="s">
        <v>27</v>
      </c>
      <c r="C101" s="11" t="s">
        <v>199</v>
      </c>
      <c r="D101" s="3" t="s">
        <v>74</v>
      </c>
      <c r="E101" s="21" t="s">
        <v>219</v>
      </c>
      <c r="F101" s="14">
        <v>4450</v>
      </c>
      <c r="G101" s="14">
        <v>983</v>
      </c>
      <c r="H101" s="14">
        <v>143</v>
      </c>
      <c r="I101" s="14">
        <v>75650</v>
      </c>
      <c r="J101" s="14">
        <v>75008</v>
      </c>
      <c r="K101" s="14">
        <v>12</v>
      </c>
      <c r="L101" s="4" t="s">
        <v>62</v>
      </c>
      <c r="M101" s="5" t="s">
        <v>31</v>
      </c>
      <c r="N101" s="17" t="s">
        <v>62</v>
      </c>
      <c r="Q101" s="25">
        <f>(F101+G101+H101)/I101</f>
        <v>7.3707865168539333E-2</v>
      </c>
      <c r="R101" s="15">
        <f t="shared" si="1"/>
        <v>5576</v>
      </c>
      <c r="T101">
        <v>297</v>
      </c>
      <c r="U101" s="9" t="s">
        <v>30</v>
      </c>
      <c r="V101">
        <f>RANK(T101, T:T)</f>
        <v>4</v>
      </c>
      <c r="W101"/>
      <c r="X101">
        <v>2214</v>
      </c>
      <c r="Y101">
        <v>152</v>
      </c>
      <c r="Z101" s="9" t="s">
        <v>37</v>
      </c>
      <c r="AA101">
        <f>X101+Y101</f>
        <v>2366</v>
      </c>
    </row>
    <row r="102" spans="1:27" ht="14.4" x14ac:dyDescent="0.3">
      <c r="A102" s="3" t="s">
        <v>250</v>
      </c>
      <c r="B102" s="3" t="s">
        <v>14</v>
      </c>
      <c r="C102" s="11" t="s">
        <v>251</v>
      </c>
      <c r="D102" s="3" t="s">
        <v>16</v>
      </c>
      <c r="E102" s="21" t="s">
        <v>17</v>
      </c>
      <c r="F102" s="14">
        <v>1000</v>
      </c>
      <c r="G102" s="14">
        <v>978</v>
      </c>
      <c r="H102" s="14">
        <v>162</v>
      </c>
      <c r="I102" s="14">
        <v>6000</v>
      </c>
      <c r="J102" s="14">
        <v>5221</v>
      </c>
      <c r="K102" s="14">
        <v>223</v>
      </c>
      <c r="L102" s="4" t="s">
        <v>37</v>
      </c>
      <c r="M102" s="5" t="s">
        <v>25</v>
      </c>
      <c r="N102" s="17" t="s">
        <v>37</v>
      </c>
      <c r="Q102" s="25">
        <f>(F102+G102+H102)/I102</f>
        <v>0.35666666666666669</v>
      </c>
      <c r="R102" s="15">
        <f t="shared" si="1"/>
        <v>2140</v>
      </c>
      <c r="T102">
        <v>137</v>
      </c>
      <c r="U102" s="9" t="s">
        <v>37</v>
      </c>
      <c r="V102">
        <f>RANK(T102, T:T)</f>
        <v>185</v>
      </c>
      <c r="W102"/>
      <c r="X102">
        <v>3861</v>
      </c>
      <c r="Y102">
        <v>101</v>
      </c>
      <c r="Z102" s="9" t="s">
        <v>30</v>
      </c>
      <c r="AA102">
        <f>X102+Y102</f>
        <v>3962</v>
      </c>
    </row>
    <row r="103" spans="1:27" ht="14.4" x14ac:dyDescent="0.3">
      <c r="A103" s="3" t="s">
        <v>252</v>
      </c>
      <c r="B103" s="3" t="s">
        <v>43</v>
      </c>
      <c r="C103" s="11" t="s">
        <v>253</v>
      </c>
      <c r="D103" s="3" t="s">
        <v>52</v>
      </c>
      <c r="E103" s="21" t="s">
        <v>59</v>
      </c>
      <c r="F103" s="14">
        <v>3689</v>
      </c>
      <c r="G103" s="14">
        <v>48</v>
      </c>
      <c r="H103" s="14">
        <v>306</v>
      </c>
      <c r="I103" s="14">
        <v>40579</v>
      </c>
      <c r="J103" s="14">
        <v>39588</v>
      </c>
      <c r="K103" s="14">
        <v>212</v>
      </c>
      <c r="L103" s="4" t="s">
        <v>37</v>
      </c>
      <c r="M103" s="5" t="s">
        <v>25</v>
      </c>
      <c r="N103" s="17" t="s">
        <v>37</v>
      </c>
      <c r="Q103" s="25">
        <f>(F103+G103+H103)/I103</f>
        <v>9.9632815002833983E-2</v>
      </c>
      <c r="R103" s="15">
        <f t="shared" si="1"/>
        <v>4043</v>
      </c>
      <c r="T103">
        <v>236</v>
      </c>
      <c r="U103" s="9" t="s">
        <v>62</v>
      </c>
      <c r="V103">
        <f>RANK(T103, T:T)</f>
        <v>69</v>
      </c>
      <c r="W103"/>
      <c r="X103">
        <v>1263</v>
      </c>
      <c r="Y103">
        <v>357</v>
      </c>
      <c r="Z103" s="9" t="s">
        <v>37</v>
      </c>
      <c r="AA103">
        <f>X103+Y103</f>
        <v>1620</v>
      </c>
    </row>
    <row r="104" spans="1:27" ht="14.4" x14ac:dyDescent="0.3">
      <c r="A104" s="3" t="s">
        <v>254</v>
      </c>
      <c r="B104" s="3" t="s">
        <v>27</v>
      </c>
      <c r="C104" s="11" t="s">
        <v>255</v>
      </c>
      <c r="D104" s="3" t="s">
        <v>35</v>
      </c>
      <c r="E104" s="21" t="s">
        <v>154</v>
      </c>
      <c r="F104" s="14">
        <v>3655</v>
      </c>
      <c r="G104" s="14">
        <v>568</v>
      </c>
      <c r="H104" s="14">
        <v>286</v>
      </c>
      <c r="I104" s="14">
        <v>32895</v>
      </c>
      <c r="J104" s="14">
        <v>32015</v>
      </c>
      <c r="K104" s="14">
        <v>199</v>
      </c>
      <c r="L104" s="4" t="s">
        <v>30</v>
      </c>
      <c r="M104" s="5" t="s">
        <v>31</v>
      </c>
      <c r="N104" s="17" t="s">
        <v>30</v>
      </c>
      <c r="Q104" s="25">
        <f>(F104+G104+H104)/I104</f>
        <v>0.13707250341997265</v>
      </c>
      <c r="R104" s="15">
        <f t="shared" si="1"/>
        <v>4509</v>
      </c>
      <c r="T104">
        <v>150</v>
      </c>
      <c r="U104" s="9" t="s">
        <v>37</v>
      </c>
      <c r="V104">
        <f>RANK(T104, T:T)</f>
        <v>172</v>
      </c>
      <c r="W104"/>
      <c r="X104">
        <v>3801</v>
      </c>
      <c r="Y104">
        <v>401</v>
      </c>
      <c r="Z104" s="9" t="s">
        <v>62</v>
      </c>
      <c r="AA104">
        <f>X104+Y104</f>
        <v>4202</v>
      </c>
    </row>
    <row r="105" spans="1:27" ht="14.4" x14ac:dyDescent="0.3">
      <c r="A105" s="3" t="s">
        <v>256</v>
      </c>
      <c r="B105" s="3" t="s">
        <v>33</v>
      </c>
      <c r="C105" s="11" t="s">
        <v>257</v>
      </c>
      <c r="D105" s="3" t="s">
        <v>45</v>
      </c>
      <c r="E105" s="21" t="s">
        <v>88</v>
      </c>
      <c r="F105" s="14">
        <v>498</v>
      </c>
      <c r="G105" s="14">
        <v>38</v>
      </c>
      <c r="H105" s="14">
        <v>42</v>
      </c>
      <c r="I105" s="14">
        <v>4482</v>
      </c>
      <c r="J105" s="14">
        <v>3647</v>
      </c>
      <c r="K105" s="14">
        <v>32</v>
      </c>
      <c r="L105" s="4" t="s">
        <v>62</v>
      </c>
      <c r="M105" s="5" t="s">
        <v>19</v>
      </c>
      <c r="N105" s="17" t="s">
        <v>62</v>
      </c>
      <c r="Q105" s="25">
        <f>(F105+G105+H105)/I105</f>
        <v>0.12896028558679162</v>
      </c>
      <c r="R105" s="15">
        <f t="shared" si="1"/>
        <v>578</v>
      </c>
      <c r="T105">
        <v>46</v>
      </c>
      <c r="U105" s="9" t="s">
        <v>62</v>
      </c>
      <c r="V105">
        <f>RANK(T105, T:T)</f>
        <v>281</v>
      </c>
      <c r="W105"/>
      <c r="X105">
        <v>1431</v>
      </c>
      <c r="Y105">
        <v>26</v>
      </c>
      <c r="Z105" s="9" t="s">
        <v>37</v>
      </c>
      <c r="AA105">
        <f>X105+Y105</f>
        <v>1457</v>
      </c>
    </row>
    <row r="106" spans="1:27" ht="14.4" x14ac:dyDescent="0.3">
      <c r="A106" s="3" t="s">
        <v>258</v>
      </c>
      <c r="B106" s="3" t="s">
        <v>33</v>
      </c>
      <c r="C106" s="11" t="s">
        <v>259</v>
      </c>
      <c r="D106" s="3" t="s">
        <v>52</v>
      </c>
      <c r="E106" s="21" t="s">
        <v>215</v>
      </c>
      <c r="F106" s="14">
        <v>4619</v>
      </c>
      <c r="G106" s="14">
        <v>821</v>
      </c>
      <c r="H106" s="14">
        <v>499</v>
      </c>
      <c r="I106" s="14">
        <v>69285</v>
      </c>
      <c r="J106" s="14">
        <v>69141</v>
      </c>
      <c r="K106" s="14">
        <v>298</v>
      </c>
      <c r="L106" s="4" t="s">
        <v>30</v>
      </c>
      <c r="M106" s="5" t="s">
        <v>38</v>
      </c>
      <c r="N106" s="17" t="s">
        <v>30</v>
      </c>
      <c r="Q106" s="25">
        <f>(F106+G106+H106)/I106</f>
        <v>8.5718409468138843E-2</v>
      </c>
      <c r="R106" s="15">
        <f t="shared" si="1"/>
        <v>5939</v>
      </c>
      <c r="T106">
        <v>163</v>
      </c>
      <c r="U106" s="9" t="s">
        <v>62</v>
      </c>
      <c r="V106">
        <f>RANK(T106, T:T)</f>
        <v>163</v>
      </c>
      <c r="W106"/>
      <c r="X106">
        <v>2647</v>
      </c>
      <c r="Y106">
        <v>170</v>
      </c>
      <c r="Z106" s="9" t="s">
        <v>62</v>
      </c>
      <c r="AA106">
        <f>X106+Y106</f>
        <v>2817</v>
      </c>
    </row>
    <row r="107" spans="1:27" ht="14.4" x14ac:dyDescent="0.3">
      <c r="A107" s="3" t="s">
        <v>260</v>
      </c>
      <c r="B107" s="3" t="s">
        <v>27</v>
      </c>
      <c r="C107" s="11" t="s">
        <v>261</v>
      </c>
      <c r="D107" s="3" t="s">
        <v>52</v>
      </c>
      <c r="E107" s="21" t="s">
        <v>53</v>
      </c>
      <c r="F107" s="14">
        <v>4832</v>
      </c>
      <c r="G107" s="14">
        <v>893</v>
      </c>
      <c r="H107" s="14">
        <v>10</v>
      </c>
      <c r="I107" s="14">
        <v>91808</v>
      </c>
      <c r="J107" s="14">
        <v>91296</v>
      </c>
      <c r="K107" s="14">
        <v>182</v>
      </c>
      <c r="L107" s="4" t="s">
        <v>30</v>
      </c>
      <c r="M107" s="5"/>
      <c r="N107" s="17" t="s">
        <v>30</v>
      </c>
      <c r="Q107" s="25">
        <f>(F107+G107+H107)/I107</f>
        <v>6.2467323109097243E-2</v>
      </c>
      <c r="R107" s="15">
        <f t="shared" si="1"/>
        <v>5735</v>
      </c>
      <c r="T107">
        <v>123</v>
      </c>
      <c r="U107" s="9" t="s">
        <v>62</v>
      </c>
      <c r="V107">
        <f>RANK(T107, T:T)</f>
        <v>202</v>
      </c>
      <c r="W107"/>
      <c r="X107">
        <v>3182</v>
      </c>
      <c r="Y107">
        <v>160</v>
      </c>
      <c r="Z107" s="9" t="s">
        <v>62</v>
      </c>
      <c r="AA107">
        <f>X107+Y107</f>
        <v>3342</v>
      </c>
    </row>
    <row r="108" spans="1:27" ht="14.4" x14ac:dyDescent="0.3">
      <c r="A108" s="3" t="s">
        <v>262</v>
      </c>
      <c r="B108" s="3" t="s">
        <v>14</v>
      </c>
      <c r="C108" s="11" t="s">
        <v>263</v>
      </c>
      <c r="D108" s="3" t="s">
        <v>74</v>
      </c>
      <c r="E108" s="21" t="s">
        <v>145</v>
      </c>
      <c r="F108" s="14">
        <v>4050</v>
      </c>
      <c r="G108" s="14">
        <v>871</v>
      </c>
      <c r="H108" s="14">
        <v>347</v>
      </c>
      <c r="I108" s="14">
        <v>52650</v>
      </c>
      <c r="J108" s="14">
        <v>51755</v>
      </c>
      <c r="K108" s="14">
        <v>209</v>
      </c>
      <c r="L108" s="4" t="s">
        <v>30</v>
      </c>
      <c r="M108" s="5" t="s">
        <v>25</v>
      </c>
      <c r="N108" s="17" t="s">
        <v>30</v>
      </c>
      <c r="Q108" s="25">
        <f>(F108+G108+H108)/I108</f>
        <v>0.10005698005698006</v>
      </c>
      <c r="R108" s="15">
        <f t="shared" si="1"/>
        <v>5268</v>
      </c>
      <c r="T108">
        <v>36</v>
      </c>
      <c r="U108" s="9" t="s">
        <v>30</v>
      </c>
      <c r="V108">
        <f>RANK(T108, T:T)</f>
        <v>294</v>
      </c>
      <c r="W108"/>
      <c r="X108">
        <v>1238</v>
      </c>
      <c r="Y108">
        <v>444</v>
      </c>
      <c r="Z108" s="9" t="s">
        <v>62</v>
      </c>
      <c r="AA108">
        <f>X108+Y108</f>
        <v>1682</v>
      </c>
    </row>
    <row r="109" spans="1:27" ht="14.4" x14ac:dyDescent="0.3">
      <c r="A109" s="3" t="s">
        <v>264</v>
      </c>
      <c r="B109" s="3" t="s">
        <v>14</v>
      </c>
      <c r="C109" s="11" t="s">
        <v>265</v>
      </c>
      <c r="D109" s="3" t="s">
        <v>35</v>
      </c>
      <c r="E109" s="21" t="s">
        <v>149</v>
      </c>
      <c r="F109" s="14">
        <v>3649</v>
      </c>
      <c r="G109" s="14">
        <v>215</v>
      </c>
      <c r="H109" s="14">
        <v>413</v>
      </c>
      <c r="I109" s="14">
        <v>25543</v>
      </c>
      <c r="J109" s="14">
        <v>24963</v>
      </c>
      <c r="K109" s="14">
        <v>167</v>
      </c>
      <c r="L109" s="4" t="s">
        <v>62</v>
      </c>
      <c r="M109" s="5" t="s">
        <v>31</v>
      </c>
      <c r="N109" s="17" t="s">
        <v>62</v>
      </c>
      <c r="Q109" s="25">
        <f>(F109+G109+H109)/I109</f>
        <v>0.16744313510550835</v>
      </c>
      <c r="R109" s="15">
        <f t="shared" si="1"/>
        <v>4277</v>
      </c>
      <c r="T109">
        <v>36</v>
      </c>
      <c r="U109" s="9" t="s">
        <v>593</v>
      </c>
      <c r="V109">
        <f>RANK(T109, T:T)</f>
        <v>294</v>
      </c>
      <c r="W109"/>
      <c r="X109">
        <v>4739</v>
      </c>
      <c r="Y109">
        <v>135</v>
      </c>
      <c r="Z109" s="9" t="s">
        <v>30</v>
      </c>
      <c r="AA109">
        <f>X109+Y109</f>
        <v>4874</v>
      </c>
    </row>
    <row r="110" spans="1:27" ht="14.4" x14ac:dyDescent="0.3">
      <c r="A110" s="3" t="s">
        <v>266</v>
      </c>
      <c r="B110" s="3" t="s">
        <v>33</v>
      </c>
      <c r="C110" s="11" t="s">
        <v>267</v>
      </c>
      <c r="D110" s="3" t="s">
        <v>16</v>
      </c>
      <c r="E110" s="21" t="s">
        <v>82</v>
      </c>
      <c r="F110" s="14">
        <v>3523</v>
      </c>
      <c r="G110" s="14">
        <v>753</v>
      </c>
      <c r="H110" s="14">
        <v>482</v>
      </c>
      <c r="I110" s="14">
        <v>38753</v>
      </c>
      <c r="J110" s="14">
        <v>38579</v>
      </c>
      <c r="K110" s="14">
        <v>270</v>
      </c>
      <c r="L110" s="4" t="s">
        <v>37</v>
      </c>
      <c r="M110" s="5" t="s">
        <v>25</v>
      </c>
      <c r="N110" s="17" t="s">
        <v>37</v>
      </c>
      <c r="Q110" s="25">
        <f>(F110+G110+H110)/I110</f>
        <v>0.12277759141227776</v>
      </c>
      <c r="R110" s="15">
        <f t="shared" si="1"/>
        <v>4758</v>
      </c>
      <c r="T110">
        <v>173</v>
      </c>
      <c r="U110" s="9" t="s">
        <v>62</v>
      </c>
      <c r="V110">
        <f>RANK(T110, T:T)</f>
        <v>150</v>
      </c>
      <c r="W110"/>
      <c r="X110">
        <v>4739</v>
      </c>
      <c r="Y110">
        <v>135</v>
      </c>
      <c r="Z110" s="9" t="s">
        <v>593</v>
      </c>
      <c r="AA110">
        <f>X110+Y110</f>
        <v>4874</v>
      </c>
    </row>
    <row r="111" spans="1:27" ht="14.4" x14ac:dyDescent="0.3">
      <c r="A111" s="3" t="s">
        <v>268</v>
      </c>
      <c r="B111" s="3" t="s">
        <v>27</v>
      </c>
      <c r="C111" s="11" t="s">
        <v>269</v>
      </c>
      <c r="D111" s="3" t="s">
        <v>52</v>
      </c>
      <c r="E111" s="21" t="s">
        <v>53</v>
      </c>
      <c r="F111" s="14">
        <v>2719</v>
      </c>
      <c r="G111" s="14">
        <v>17</v>
      </c>
      <c r="H111" s="14">
        <v>285</v>
      </c>
      <c r="I111" s="14">
        <v>40785</v>
      </c>
      <c r="J111" s="14">
        <v>40281</v>
      </c>
      <c r="K111" s="14">
        <v>40</v>
      </c>
      <c r="L111" s="4" t="s">
        <v>30</v>
      </c>
      <c r="M111" s="5" t="s">
        <v>25</v>
      </c>
      <c r="N111" s="17" t="s">
        <v>30</v>
      </c>
      <c r="Q111" s="25">
        <f>(F111+G111+H111)/I111</f>
        <v>7.4071349760941527E-2</v>
      </c>
      <c r="R111" s="15">
        <f t="shared" si="1"/>
        <v>3021</v>
      </c>
      <c r="T111">
        <v>52</v>
      </c>
      <c r="U111" s="9" t="s">
        <v>37</v>
      </c>
      <c r="V111">
        <f>RANK(T111, T:T)</f>
        <v>272</v>
      </c>
      <c r="W111"/>
      <c r="X111">
        <v>4171</v>
      </c>
      <c r="Y111">
        <v>86</v>
      </c>
      <c r="Z111" s="9" t="s">
        <v>62</v>
      </c>
      <c r="AA111">
        <f>X111+Y111</f>
        <v>4257</v>
      </c>
    </row>
    <row r="112" spans="1:27" ht="14.4" x14ac:dyDescent="0.3">
      <c r="A112" s="3" t="s">
        <v>270</v>
      </c>
      <c r="B112" s="3" t="s">
        <v>14</v>
      </c>
      <c r="C112" s="11" t="s">
        <v>271</v>
      </c>
      <c r="D112" s="3" t="s">
        <v>35</v>
      </c>
      <c r="E112" s="21" t="s">
        <v>149</v>
      </c>
      <c r="F112" s="14">
        <v>1957</v>
      </c>
      <c r="G112" s="14">
        <v>877</v>
      </c>
      <c r="H112" s="14">
        <v>238</v>
      </c>
      <c r="I112" s="14">
        <v>17613</v>
      </c>
      <c r="J112" s="14">
        <v>16865</v>
      </c>
      <c r="K112" s="14">
        <v>297</v>
      </c>
      <c r="L112" s="4" t="s">
        <v>62</v>
      </c>
      <c r="M112" s="5" t="s">
        <v>31</v>
      </c>
      <c r="N112" s="17" t="s">
        <v>62</v>
      </c>
      <c r="Q112" s="25">
        <f>(F112+G112+H112)/I112</f>
        <v>0.17441662408448305</v>
      </c>
      <c r="R112" s="15">
        <f t="shared" si="1"/>
        <v>3072</v>
      </c>
      <c r="T112">
        <v>12</v>
      </c>
      <c r="U112" s="9" t="s">
        <v>62</v>
      </c>
      <c r="V112">
        <f>RANK(T112, T:T)</f>
        <v>326</v>
      </c>
      <c r="W112"/>
      <c r="X112">
        <v>1766</v>
      </c>
      <c r="Y112">
        <v>424</v>
      </c>
      <c r="Z112" s="9" t="s">
        <v>37</v>
      </c>
      <c r="AA112">
        <f>X112+Y112</f>
        <v>2190</v>
      </c>
    </row>
    <row r="113" spans="1:27" ht="14.4" x14ac:dyDescent="0.3">
      <c r="A113" s="3" t="s">
        <v>272</v>
      </c>
      <c r="B113" s="3" t="s">
        <v>14</v>
      </c>
      <c r="C113" s="11" t="s">
        <v>273</v>
      </c>
      <c r="D113" s="3" t="s">
        <v>45</v>
      </c>
      <c r="E113" s="21" t="s">
        <v>49</v>
      </c>
      <c r="F113" s="14">
        <v>4419</v>
      </c>
      <c r="G113" s="14">
        <v>236</v>
      </c>
      <c r="H113" s="14">
        <v>369</v>
      </c>
      <c r="I113" s="14">
        <v>44190</v>
      </c>
      <c r="J113" s="14">
        <v>43582</v>
      </c>
      <c r="K113" s="14">
        <v>10</v>
      </c>
      <c r="L113" s="4" t="s">
        <v>37</v>
      </c>
      <c r="M113" s="5" t="s">
        <v>19</v>
      </c>
      <c r="N113" s="17" t="s">
        <v>37</v>
      </c>
      <c r="Q113" s="25">
        <f>(F113+G113+H113)/I113</f>
        <v>0.11369088028965829</v>
      </c>
      <c r="R113" s="15">
        <f t="shared" si="1"/>
        <v>5024</v>
      </c>
      <c r="T113">
        <v>223</v>
      </c>
      <c r="U113" s="9" t="s">
        <v>37</v>
      </c>
      <c r="V113">
        <f>RANK(T113, T:T)</f>
        <v>91</v>
      </c>
      <c r="W113"/>
      <c r="X113">
        <v>4450</v>
      </c>
      <c r="Y113">
        <v>143</v>
      </c>
      <c r="Z113" s="9" t="s">
        <v>62</v>
      </c>
      <c r="AA113">
        <f>X113+Y113</f>
        <v>4593</v>
      </c>
    </row>
    <row r="114" spans="1:27" ht="14.4" x14ac:dyDescent="0.3">
      <c r="A114" s="3" t="s">
        <v>274</v>
      </c>
      <c r="B114" s="3" t="s">
        <v>14</v>
      </c>
      <c r="C114" s="11" t="s">
        <v>275</v>
      </c>
      <c r="D114" s="3" t="s">
        <v>35</v>
      </c>
      <c r="E114" s="21" t="s">
        <v>149</v>
      </c>
      <c r="F114" s="14">
        <v>4000</v>
      </c>
      <c r="G114" s="14">
        <v>689</v>
      </c>
      <c r="H114" s="14">
        <v>488</v>
      </c>
      <c r="I114" s="14">
        <v>40000</v>
      </c>
      <c r="J114" s="14">
        <v>39569</v>
      </c>
      <c r="K114" s="14">
        <v>44</v>
      </c>
      <c r="L114" s="4" t="s">
        <v>62</v>
      </c>
      <c r="M114" s="5" t="s">
        <v>19</v>
      </c>
      <c r="N114" s="17" t="s">
        <v>62</v>
      </c>
      <c r="Q114" s="25">
        <f>(F114+G114+H114)/I114</f>
        <v>0.12942500000000001</v>
      </c>
      <c r="R114" s="15">
        <f t="shared" si="1"/>
        <v>5177</v>
      </c>
      <c r="T114">
        <v>212</v>
      </c>
      <c r="U114" s="9" t="s">
        <v>37</v>
      </c>
      <c r="V114">
        <f>RANK(T114, T:T)</f>
        <v>101</v>
      </c>
      <c r="W114"/>
      <c r="X114">
        <v>1000</v>
      </c>
      <c r="Y114">
        <v>162</v>
      </c>
      <c r="Z114" s="9" t="s">
        <v>37</v>
      </c>
      <c r="AA114">
        <f>X114+Y114</f>
        <v>1162</v>
      </c>
    </row>
    <row r="115" spans="1:27" ht="14.4" x14ac:dyDescent="0.3">
      <c r="A115" s="3" t="s">
        <v>276</v>
      </c>
      <c r="B115" s="3" t="s">
        <v>14</v>
      </c>
      <c r="C115" s="11" t="s">
        <v>277</v>
      </c>
      <c r="D115" s="3" t="s">
        <v>52</v>
      </c>
      <c r="E115" s="21" t="s">
        <v>132</v>
      </c>
      <c r="F115" s="14">
        <v>2493</v>
      </c>
      <c r="G115" s="14">
        <v>97</v>
      </c>
      <c r="H115" s="14">
        <v>44</v>
      </c>
      <c r="I115" s="14">
        <v>42381</v>
      </c>
      <c r="J115" s="14">
        <v>41991</v>
      </c>
      <c r="K115" s="14">
        <v>242</v>
      </c>
      <c r="L115" s="4" t="s">
        <v>95</v>
      </c>
      <c r="M115" s="5" t="s">
        <v>38</v>
      </c>
      <c r="N115" s="17" t="s">
        <v>30</v>
      </c>
      <c r="O115" s="17" t="s">
        <v>593</v>
      </c>
      <c r="Q115" s="25">
        <f>(F115+G115+H115)/I115</f>
        <v>6.2150491965739366E-2</v>
      </c>
      <c r="R115" s="15">
        <f t="shared" si="1"/>
        <v>2634</v>
      </c>
      <c r="T115">
        <v>199</v>
      </c>
      <c r="U115" s="9" t="s">
        <v>30</v>
      </c>
      <c r="V115">
        <f>RANK(T115, T:T)</f>
        <v>122</v>
      </c>
      <c r="W115"/>
      <c r="X115">
        <v>3689</v>
      </c>
      <c r="Y115">
        <v>306</v>
      </c>
      <c r="Z115" s="9" t="s">
        <v>37</v>
      </c>
      <c r="AA115">
        <f>X115+Y115</f>
        <v>3995</v>
      </c>
    </row>
    <row r="116" spans="1:27" ht="14.4" x14ac:dyDescent="0.3">
      <c r="A116" s="3" t="s">
        <v>278</v>
      </c>
      <c r="B116" s="3" t="s">
        <v>27</v>
      </c>
      <c r="C116" s="11" t="s">
        <v>279</v>
      </c>
      <c r="D116" s="3" t="s">
        <v>16</v>
      </c>
      <c r="E116" s="21" t="s">
        <v>29</v>
      </c>
      <c r="F116" s="14">
        <v>3704</v>
      </c>
      <c r="G116" s="14">
        <v>186</v>
      </c>
      <c r="H116" s="14">
        <v>458</v>
      </c>
      <c r="I116" s="14">
        <v>25928</v>
      </c>
      <c r="J116" s="14">
        <v>25081</v>
      </c>
      <c r="K116" s="14">
        <v>131</v>
      </c>
      <c r="L116" s="4" t="s">
        <v>30</v>
      </c>
      <c r="M116" s="5"/>
      <c r="N116" s="17" t="s">
        <v>30</v>
      </c>
      <c r="Q116" s="25">
        <f>(F116+G116+H116)/I116</f>
        <v>0.16769515581610614</v>
      </c>
      <c r="R116" s="15">
        <f t="shared" si="1"/>
        <v>4348</v>
      </c>
      <c r="T116">
        <v>32</v>
      </c>
      <c r="U116" s="9" t="s">
        <v>62</v>
      </c>
      <c r="V116">
        <f>RANK(T116, T:T)</f>
        <v>299</v>
      </c>
      <c r="W116"/>
      <c r="X116">
        <v>3655</v>
      </c>
      <c r="Y116">
        <v>286</v>
      </c>
      <c r="Z116" s="9" t="s">
        <v>30</v>
      </c>
      <c r="AA116">
        <f>X116+Y116</f>
        <v>3941</v>
      </c>
    </row>
    <row r="117" spans="1:27" ht="14.4" x14ac:dyDescent="0.3">
      <c r="A117" s="3" t="s">
        <v>280</v>
      </c>
      <c r="B117" s="3" t="s">
        <v>14</v>
      </c>
      <c r="C117" s="11" t="s">
        <v>281</v>
      </c>
      <c r="D117" s="3" t="s">
        <v>52</v>
      </c>
      <c r="E117" s="21" t="s">
        <v>132</v>
      </c>
      <c r="F117" s="14">
        <v>1606</v>
      </c>
      <c r="G117" s="14">
        <v>451</v>
      </c>
      <c r="H117" s="14">
        <v>405</v>
      </c>
      <c r="I117" s="14">
        <v>20878</v>
      </c>
      <c r="J117" s="14">
        <v>20190</v>
      </c>
      <c r="K117" s="14">
        <v>219</v>
      </c>
      <c r="L117" s="4" t="s">
        <v>37</v>
      </c>
      <c r="M117" s="5" t="s">
        <v>38</v>
      </c>
      <c r="N117" s="17" t="s">
        <v>37</v>
      </c>
      <c r="Q117" s="25">
        <f>(F117+G117+H117)/I117</f>
        <v>0.11792317271769326</v>
      </c>
      <c r="R117" s="15">
        <f t="shared" si="1"/>
        <v>2462</v>
      </c>
      <c r="T117">
        <v>298</v>
      </c>
      <c r="U117" s="9" t="s">
        <v>30</v>
      </c>
      <c r="V117">
        <f>RANK(T117, T:T)</f>
        <v>3</v>
      </c>
      <c r="W117"/>
      <c r="X117">
        <v>498</v>
      </c>
      <c r="Y117">
        <v>42</v>
      </c>
      <c r="Z117" s="9" t="s">
        <v>62</v>
      </c>
      <c r="AA117">
        <f>X117+Y117</f>
        <v>540</v>
      </c>
    </row>
    <row r="118" spans="1:27" ht="14.4" x14ac:dyDescent="0.3">
      <c r="A118" s="3" t="s">
        <v>282</v>
      </c>
      <c r="B118" s="3" t="s">
        <v>43</v>
      </c>
      <c r="C118" s="11" t="s">
        <v>281</v>
      </c>
      <c r="D118" s="3" t="s">
        <v>52</v>
      </c>
      <c r="E118" s="21" t="s">
        <v>59</v>
      </c>
      <c r="F118" s="14">
        <v>4551</v>
      </c>
      <c r="G118" s="14">
        <v>714</v>
      </c>
      <c r="H118" s="14">
        <v>207</v>
      </c>
      <c r="I118" s="14">
        <v>68265</v>
      </c>
      <c r="J118" s="14">
        <v>67754</v>
      </c>
      <c r="K118" s="14">
        <v>57</v>
      </c>
      <c r="L118" s="4" t="s">
        <v>62</v>
      </c>
      <c r="M118" s="5" t="s">
        <v>31</v>
      </c>
      <c r="N118" s="17" t="s">
        <v>62</v>
      </c>
      <c r="Q118" s="25">
        <f>(F118+G118+H118)/I118</f>
        <v>8.0158206987475278E-2</v>
      </c>
      <c r="R118" s="15">
        <f t="shared" si="1"/>
        <v>5472</v>
      </c>
      <c r="T118">
        <v>182</v>
      </c>
      <c r="U118" s="9" t="s">
        <v>30</v>
      </c>
      <c r="V118">
        <f>RANK(T118, T:T)</f>
        <v>141</v>
      </c>
      <c r="W118"/>
      <c r="X118">
        <v>4619</v>
      </c>
      <c r="Y118">
        <v>499</v>
      </c>
      <c r="Z118" s="9" t="s">
        <v>30</v>
      </c>
      <c r="AA118">
        <f>X118+Y118</f>
        <v>5118</v>
      </c>
    </row>
    <row r="119" spans="1:27" ht="14.4" x14ac:dyDescent="0.3">
      <c r="A119" s="3" t="s">
        <v>283</v>
      </c>
      <c r="B119" s="3" t="s">
        <v>33</v>
      </c>
      <c r="C119" s="11" t="s">
        <v>284</v>
      </c>
      <c r="D119" s="3" t="s">
        <v>16</v>
      </c>
      <c r="E119" s="21" t="s">
        <v>82</v>
      </c>
      <c r="F119" s="14">
        <v>1970</v>
      </c>
      <c r="G119" s="14">
        <v>675</v>
      </c>
      <c r="H119" s="14">
        <v>478</v>
      </c>
      <c r="I119" s="14">
        <v>9850</v>
      </c>
      <c r="J119" s="14">
        <v>8924</v>
      </c>
      <c r="K119" s="14">
        <v>117</v>
      </c>
      <c r="L119" s="4" t="s">
        <v>62</v>
      </c>
      <c r="M119" s="5"/>
      <c r="N119" s="17" t="s">
        <v>62</v>
      </c>
      <c r="Q119" s="25">
        <f>(F119+G119+H119)/I119</f>
        <v>0.31705583756345179</v>
      </c>
      <c r="R119" s="15">
        <f t="shared" si="1"/>
        <v>3123</v>
      </c>
      <c r="T119">
        <v>209</v>
      </c>
      <c r="U119" s="9" t="s">
        <v>30</v>
      </c>
      <c r="V119">
        <f>RANK(T119, T:T)</f>
        <v>108</v>
      </c>
      <c r="W119"/>
      <c r="X119">
        <v>4832</v>
      </c>
      <c r="Y119">
        <v>10</v>
      </c>
      <c r="Z119" s="9" t="s">
        <v>30</v>
      </c>
      <c r="AA119">
        <f>X119+Y119</f>
        <v>4842</v>
      </c>
    </row>
    <row r="120" spans="1:27" ht="14.4" x14ac:dyDescent="0.3">
      <c r="A120" s="3" t="s">
        <v>285</v>
      </c>
      <c r="B120" s="3" t="s">
        <v>43</v>
      </c>
      <c r="C120" s="11" t="s">
        <v>168</v>
      </c>
      <c r="D120" s="3" t="s">
        <v>35</v>
      </c>
      <c r="E120" s="21" t="s">
        <v>71</v>
      </c>
      <c r="F120" s="14">
        <v>780</v>
      </c>
      <c r="G120" s="14">
        <v>928</v>
      </c>
      <c r="H120" s="14">
        <v>301</v>
      </c>
      <c r="I120" s="14">
        <v>8580</v>
      </c>
      <c r="J120" s="14">
        <v>8081</v>
      </c>
      <c r="K120" s="14">
        <v>91</v>
      </c>
      <c r="L120" s="4" t="s">
        <v>37</v>
      </c>
      <c r="M120" s="5" t="s">
        <v>31</v>
      </c>
      <c r="N120" s="17" t="s">
        <v>37</v>
      </c>
      <c r="Q120" s="25">
        <f>(F120+G120+H120)/I120</f>
        <v>0.23414918414918415</v>
      </c>
      <c r="R120" s="15">
        <f t="shared" si="1"/>
        <v>2009</v>
      </c>
      <c r="T120">
        <v>167</v>
      </c>
      <c r="U120" s="9" t="s">
        <v>62</v>
      </c>
      <c r="V120">
        <f>RANK(T120, T:T)</f>
        <v>160</v>
      </c>
      <c r="W120"/>
      <c r="X120">
        <v>4050</v>
      </c>
      <c r="Y120">
        <v>347</v>
      </c>
      <c r="Z120" s="9" t="s">
        <v>30</v>
      </c>
      <c r="AA120">
        <f>X120+Y120</f>
        <v>4397</v>
      </c>
    </row>
    <row r="121" spans="1:27" ht="14.4" x14ac:dyDescent="0.3">
      <c r="A121" s="3" t="s">
        <v>286</v>
      </c>
      <c r="B121" s="3" t="s">
        <v>33</v>
      </c>
      <c r="C121" s="11" t="s">
        <v>267</v>
      </c>
      <c r="D121" s="3" t="s">
        <v>35</v>
      </c>
      <c r="E121" s="21" t="s">
        <v>36</v>
      </c>
      <c r="F121" s="14">
        <v>498</v>
      </c>
      <c r="G121" s="14">
        <v>701</v>
      </c>
      <c r="H121" s="14">
        <v>412</v>
      </c>
      <c r="I121" s="14">
        <v>4980</v>
      </c>
      <c r="J121" s="14">
        <v>4185</v>
      </c>
      <c r="K121" s="14">
        <v>185</v>
      </c>
      <c r="L121" s="4" t="s">
        <v>62</v>
      </c>
      <c r="M121" s="5"/>
      <c r="N121" s="17" t="s">
        <v>62</v>
      </c>
      <c r="Q121" s="25">
        <f>(F121+G121+H121)/I121</f>
        <v>0.32349397590361445</v>
      </c>
      <c r="R121" s="15">
        <f t="shared" si="1"/>
        <v>1611</v>
      </c>
      <c r="T121">
        <v>270</v>
      </c>
      <c r="U121" s="9" t="s">
        <v>37</v>
      </c>
      <c r="V121">
        <f>RANK(T121, T:T)</f>
        <v>30</v>
      </c>
      <c r="W121"/>
      <c r="X121">
        <v>3649</v>
      </c>
      <c r="Y121">
        <v>413</v>
      </c>
      <c r="Z121" s="9" t="s">
        <v>62</v>
      </c>
      <c r="AA121">
        <f>X121+Y121</f>
        <v>4062</v>
      </c>
    </row>
    <row r="122" spans="1:27" ht="14.4" x14ac:dyDescent="0.3">
      <c r="A122" s="3" t="s">
        <v>287</v>
      </c>
      <c r="B122" s="3" t="s">
        <v>33</v>
      </c>
      <c r="C122" s="11" t="s">
        <v>273</v>
      </c>
      <c r="D122" s="3" t="s">
        <v>22</v>
      </c>
      <c r="E122" s="21" t="s">
        <v>113</v>
      </c>
      <c r="F122" s="14">
        <v>3432</v>
      </c>
      <c r="G122" s="14">
        <v>869</v>
      </c>
      <c r="H122" s="14">
        <v>123</v>
      </c>
      <c r="I122" s="14">
        <v>54912</v>
      </c>
      <c r="J122" s="14">
        <v>53916</v>
      </c>
      <c r="K122" s="14">
        <v>264</v>
      </c>
      <c r="L122" s="4" t="s">
        <v>37</v>
      </c>
      <c r="M122" s="5" t="s">
        <v>25</v>
      </c>
      <c r="N122" s="17" t="s">
        <v>37</v>
      </c>
      <c r="Q122" s="25">
        <f>(F122+G122+H122)/I122</f>
        <v>8.0565268065268064E-2</v>
      </c>
      <c r="R122" s="15">
        <f t="shared" si="1"/>
        <v>4424</v>
      </c>
      <c r="T122">
        <v>40</v>
      </c>
      <c r="U122" s="9" t="s">
        <v>30</v>
      </c>
      <c r="V122">
        <f>RANK(T122, T:T)</f>
        <v>289</v>
      </c>
      <c r="W122"/>
      <c r="X122">
        <v>3523</v>
      </c>
      <c r="Y122">
        <v>482</v>
      </c>
      <c r="Z122" s="9" t="s">
        <v>37</v>
      </c>
      <c r="AA122">
        <f>X122+Y122</f>
        <v>4005</v>
      </c>
    </row>
    <row r="123" spans="1:27" ht="14.4" x14ac:dyDescent="0.3">
      <c r="A123" s="3" t="s">
        <v>288</v>
      </c>
      <c r="B123" s="3" t="s">
        <v>33</v>
      </c>
      <c r="C123" s="11" t="s">
        <v>257</v>
      </c>
      <c r="D123" s="3" t="s">
        <v>35</v>
      </c>
      <c r="E123" s="21" t="s">
        <v>36</v>
      </c>
      <c r="F123" s="14">
        <v>4363</v>
      </c>
      <c r="G123" s="14">
        <v>649</v>
      </c>
      <c r="H123" s="14">
        <v>140</v>
      </c>
      <c r="I123" s="14">
        <v>21815</v>
      </c>
      <c r="J123" s="14">
        <v>21481</v>
      </c>
      <c r="K123" s="14">
        <v>157</v>
      </c>
      <c r="L123" s="4" t="s">
        <v>37</v>
      </c>
      <c r="M123" s="5" t="s">
        <v>19</v>
      </c>
      <c r="N123" s="17" t="s">
        <v>37</v>
      </c>
      <c r="Q123" s="25">
        <f>(F123+G123+H123)/I123</f>
        <v>0.23616777446710979</v>
      </c>
      <c r="R123" s="15">
        <f t="shared" si="1"/>
        <v>5152</v>
      </c>
      <c r="T123">
        <v>297</v>
      </c>
      <c r="U123" s="9" t="s">
        <v>62</v>
      </c>
      <c r="V123">
        <f>RANK(T123, T:T)</f>
        <v>4</v>
      </c>
      <c r="W123"/>
      <c r="X123">
        <v>2719</v>
      </c>
      <c r="Y123">
        <v>285</v>
      </c>
      <c r="Z123" s="9" t="s">
        <v>30</v>
      </c>
      <c r="AA123">
        <f>X123+Y123</f>
        <v>3004</v>
      </c>
    </row>
    <row r="124" spans="1:27" ht="14.4" x14ac:dyDescent="0.3">
      <c r="A124" s="3" t="s">
        <v>289</v>
      </c>
      <c r="B124" s="3" t="s">
        <v>27</v>
      </c>
      <c r="C124" s="11" t="s">
        <v>290</v>
      </c>
      <c r="D124" s="3" t="s">
        <v>45</v>
      </c>
      <c r="E124" s="21" t="s">
        <v>68</v>
      </c>
      <c r="F124" s="14">
        <v>736</v>
      </c>
      <c r="G124" s="14">
        <v>771</v>
      </c>
      <c r="H124" s="14">
        <v>225</v>
      </c>
      <c r="I124" s="14">
        <v>5152</v>
      </c>
      <c r="J124" s="14">
        <v>4706</v>
      </c>
      <c r="K124" s="14">
        <v>19</v>
      </c>
      <c r="L124" s="4" t="s">
        <v>37</v>
      </c>
      <c r="M124" s="5" t="s">
        <v>19</v>
      </c>
      <c r="N124" s="17" t="s">
        <v>37</v>
      </c>
      <c r="Q124" s="25">
        <f>(F124+G124+H124)/I124</f>
        <v>0.33618012422360249</v>
      </c>
      <c r="R124" s="15">
        <f t="shared" si="1"/>
        <v>1732</v>
      </c>
      <c r="T124">
        <v>10</v>
      </c>
      <c r="U124" s="9" t="s">
        <v>37</v>
      </c>
      <c r="V124">
        <f>RANK(T124, T:T)</f>
        <v>331</v>
      </c>
      <c r="W124"/>
      <c r="X124">
        <v>1957</v>
      </c>
      <c r="Y124">
        <v>238</v>
      </c>
      <c r="Z124" s="9" t="s">
        <v>62</v>
      </c>
      <c r="AA124">
        <f>X124+Y124</f>
        <v>2195</v>
      </c>
    </row>
    <row r="125" spans="1:27" ht="14.4" x14ac:dyDescent="0.3">
      <c r="A125" s="3" t="s">
        <v>291</v>
      </c>
      <c r="B125" s="3" t="s">
        <v>14</v>
      </c>
      <c r="C125" s="11" t="s">
        <v>292</v>
      </c>
      <c r="D125" s="3" t="s">
        <v>45</v>
      </c>
      <c r="E125" s="21" t="s">
        <v>49</v>
      </c>
      <c r="F125" s="14">
        <v>3811</v>
      </c>
      <c r="G125" s="14">
        <v>866</v>
      </c>
      <c r="H125" s="14">
        <v>216</v>
      </c>
      <c r="I125" s="14">
        <v>34299</v>
      </c>
      <c r="J125" s="14">
        <v>34088</v>
      </c>
      <c r="K125" s="14">
        <v>233</v>
      </c>
      <c r="L125" s="4" t="s">
        <v>30</v>
      </c>
      <c r="M125" s="5" t="s">
        <v>38</v>
      </c>
      <c r="N125" s="17" t="s">
        <v>30</v>
      </c>
      <c r="Q125" s="25">
        <f>(F125+G125+H125)/I125</f>
        <v>0.14265722032712325</v>
      </c>
      <c r="R125" s="15">
        <f t="shared" si="1"/>
        <v>4893</v>
      </c>
      <c r="T125">
        <v>44</v>
      </c>
      <c r="U125" s="9" t="s">
        <v>62</v>
      </c>
      <c r="V125">
        <f>RANK(T125, T:T)</f>
        <v>283</v>
      </c>
      <c r="W125"/>
      <c r="X125">
        <v>4419</v>
      </c>
      <c r="Y125">
        <v>369</v>
      </c>
      <c r="Z125" s="9" t="s">
        <v>37</v>
      </c>
      <c r="AA125">
        <f>X125+Y125</f>
        <v>4788</v>
      </c>
    </row>
    <row r="126" spans="1:27" ht="14.4" x14ac:dyDescent="0.3">
      <c r="A126" s="3" t="s">
        <v>293</v>
      </c>
      <c r="B126" s="3" t="s">
        <v>33</v>
      </c>
      <c r="C126" s="11" t="s">
        <v>184</v>
      </c>
      <c r="D126" s="3" t="s">
        <v>45</v>
      </c>
      <c r="E126" s="21" t="s">
        <v>88</v>
      </c>
      <c r="F126" s="14">
        <v>4158</v>
      </c>
      <c r="G126" s="14">
        <v>167</v>
      </c>
      <c r="H126" s="14">
        <v>241</v>
      </c>
      <c r="I126" s="14">
        <v>45738</v>
      </c>
      <c r="J126" s="14">
        <v>45183</v>
      </c>
      <c r="K126" s="14">
        <v>142</v>
      </c>
      <c r="L126" s="4" t="s">
        <v>62</v>
      </c>
      <c r="M126" s="5"/>
      <c r="N126" s="17" t="s">
        <v>62</v>
      </c>
      <c r="Q126" s="25">
        <f>(F126+G126+H126)/I126</f>
        <v>9.9829463465827106E-2</v>
      </c>
      <c r="R126" s="15">
        <f t="shared" si="1"/>
        <v>4566</v>
      </c>
      <c r="T126">
        <v>242</v>
      </c>
      <c r="U126" s="9" t="s">
        <v>30</v>
      </c>
      <c r="V126">
        <f>RANK(T126, T:T)</f>
        <v>53</v>
      </c>
      <c r="W126"/>
      <c r="X126">
        <v>4000</v>
      </c>
      <c r="Y126">
        <v>488</v>
      </c>
      <c r="Z126" s="9" t="s">
        <v>62</v>
      </c>
      <c r="AA126">
        <f>X126+Y126</f>
        <v>4488</v>
      </c>
    </row>
    <row r="127" spans="1:27" ht="14.4" x14ac:dyDescent="0.3">
      <c r="A127" s="3" t="s">
        <v>294</v>
      </c>
      <c r="B127" s="3" t="s">
        <v>43</v>
      </c>
      <c r="C127" s="11" t="s">
        <v>224</v>
      </c>
      <c r="D127" s="3" t="s">
        <v>16</v>
      </c>
      <c r="E127" s="21" t="s">
        <v>65</v>
      </c>
      <c r="F127" s="14">
        <v>3452</v>
      </c>
      <c r="G127" s="14">
        <v>652</v>
      </c>
      <c r="H127" s="14">
        <v>442</v>
      </c>
      <c r="I127" s="14">
        <v>65588</v>
      </c>
      <c r="J127" s="14">
        <v>65049</v>
      </c>
      <c r="K127" s="14">
        <v>158</v>
      </c>
      <c r="L127" s="4" t="s">
        <v>62</v>
      </c>
      <c r="M127" s="5" t="s">
        <v>31</v>
      </c>
      <c r="N127" s="17" t="s">
        <v>62</v>
      </c>
      <c r="Q127" s="25">
        <f>(F127+G127+H127)/I127</f>
        <v>6.9311459413307311E-2</v>
      </c>
      <c r="R127" s="15">
        <f t="shared" si="1"/>
        <v>4546</v>
      </c>
      <c r="T127">
        <v>242</v>
      </c>
      <c r="U127" s="9" t="s">
        <v>593</v>
      </c>
      <c r="V127">
        <f>RANK(T127, T:T)</f>
        <v>53</v>
      </c>
      <c r="W127"/>
      <c r="X127">
        <v>2493</v>
      </c>
      <c r="Y127">
        <v>44</v>
      </c>
      <c r="Z127" s="9" t="s">
        <v>30</v>
      </c>
      <c r="AA127">
        <f>X127+Y127</f>
        <v>2537</v>
      </c>
    </row>
    <row r="128" spans="1:27" ht="14.4" x14ac:dyDescent="0.3">
      <c r="A128" s="3" t="s">
        <v>295</v>
      </c>
      <c r="B128" s="3" t="s">
        <v>14</v>
      </c>
      <c r="C128" s="11" t="s">
        <v>64</v>
      </c>
      <c r="D128" s="3" t="s">
        <v>22</v>
      </c>
      <c r="E128" s="21" t="s">
        <v>23</v>
      </c>
      <c r="F128" s="14">
        <v>2147</v>
      </c>
      <c r="G128" s="14">
        <v>430</v>
      </c>
      <c r="H128" s="14">
        <v>393</v>
      </c>
      <c r="I128" s="14">
        <v>17176</v>
      </c>
      <c r="J128" s="14">
        <v>16483</v>
      </c>
      <c r="K128" s="14">
        <v>170</v>
      </c>
      <c r="L128" s="4" t="s">
        <v>30</v>
      </c>
      <c r="M128" s="5"/>
      <c r="N128" s="17" t="s">
        <v>30</v>
      </c>
      <c r="Q128" s="25">
        <f>(F128+G128+H128)/I128</f>
        <v>0.17291569632044715</v>
      </c>
      <c r="R128" s="15">
        <f t="shared" si="1"/>
        <v>2970</v>
      </c>
      <c r="T128">
        <v>131</v>
      </c>
      <c r="U128" s="9" t="s">
        <v>30</v>
      </c>
      <c r="V128">
        <f>RANK(T128, T:T)</f>
        <v>193</v>
      </c>
      <c r="W128"/>
      <c r="X128">
        <v>2493</v>
      </c>
      <c r="Y128">
        <v>44</v>
      </c>
      <c r="Z128" s="9" t="s">
        <v>593</v>
      </c>
      <c r="AA128">
        <f>X128+Y128</f>
        <v>2537</v>
      </c>
    </row>
    <row r="129" spans="1:27" ht="14.4" x14ac:dyDescent="0.3">
      <c r="A129" s="3" t="s">
        <v>296</v>
      </c>
      <c r="B129" s="3" t="s">
        <v>27</v>
      </c>
      <c r="C129" s="11" t="s">
        <v>297</v>
      </c>
      <c r="D129" s="3" t="s">
        <v>16</v>
      </c>
      <c r="E129" s="21" t="s">
        <v>29</v>
      </c>
      <c r="F129" s="14">
        <v>2936</v>
      </c>
      <c r="G129" s="14">
        <v>439</v>
      </c>
      <c r="H129" s="14">
        <v>44</v>
      </c>
      <c r="I129" s="14">
        <v>38168</v>
      </c>
      <c r="J129" s="14">
        <v>37571</v>
      </c>
      <c r="K129" s="14">
        <v>22</v>
      </c>
      <c r="L129" s="4" t="s">
        <v>37</v>
      </c>
      <c r="M129" s="5" t="s">
        <v>38</v>
      </c>
      <c r="N129" s="17" t="s">
        <v>37</v>
      </c>
      <c r="Q129" s="25">
        <f>(F129+G129+H129)/I129</f>
        <v>8.9577656675749323E-2</v>
      </c>
      <c r="R129" s="15">
        <f t="shared" si="1"/>
        <v>3419</v>
      </c>
      <c r="T129">
        <v>219</v>
      </c>
      <c r="U129" s="9" t="s">
        <v>37</v>
      </c>
      <c r="V129">
        <f>RANK(T129, T:T)</f>
        <v>94</v>
      </c>
      <c r="W129"/>
      <c r="X129">
        <v>3704</v>
      </c>
      <c r="Y129">
        <v>458</v>
      </c>
      <c r="Z129" s="9" t="s">
        <v>30</v>
      </c>
      <c r="AA129">
        <f>X129+Y129</f>
        <v>4162</v>
      </c>
    </row>
    <row r="130" spans="1:27" ht="14.4" x14ac:dyDescent="0.3">
      <c r="A130" s="3" t="s">
        <v>298</v>
      </c>
      <c r="B130" s="3" t="s">
        <v>33</v>
      </c>
      <c r="C130" s="11" t="s">
        <v>168</v>
      </c>
      <c r="D130" s="3" t="s">
        <v>16</v>
      </c>
      <c r="E130" s="21" t="s">
        <v>82</v>
      </c>
      <c r="F130" s="14">
        <v>4840</v>
      </c>
      <c r="G130" s="14">
        <v>658</v>
      </c>
      <c r="H130" s="14">
        <v>211</v>
      </c>
      <c r="I130" s="14">
        <v>43560</v>
      </c>
      <c r="J130" s="14">
        <v>43225</v>
      </c>
      <c r="K130" s="14">
        <v>57</v>
      </c>
      <c r="L130" s="4" t="s">
        <v>62</v>
      </c>
      <c r="M130" s="5" t="s">
        <v>31</v>
      </c>
      <c r="N130" s="17" t="s">
        <v>62</v>
      </c>
      <c r="Q130" s="25">
        <f>(F130+G130+H130)/I130</f>
        <v>0.13106060606060607</v>
      </c>
      <c r="R130" s="15">
        <f t="shared" si="1"/>
        <v>5709</v>
      </c>
      <c r="T130">
        <v>57</v>
      </c>
      <c r="U130" s="9" t="s">
        <v>62</v>
      </c>
      <c r="V130">
        <f>RANK(T130, T:T)</f>
        <v>268</v>
      </c>
      <c r="W130"/>
      <c r="X130">
        <v>1606</v>
      </c>
      <c r="Y130">
        <v>405</v>
      </c>
      <c r="Z130" s="9" t="s">
        <v>37</v>
      </c>
      <c r="AA130">
        <f>X130+Y130</f>
        <v>2011</v>
      </c>
    </row>
    <row r="131" spans="1:27" ht="14.4" x14ac:dyDescent="0.3">
      <c r="A131" s="3" t="s">
        <v>299</v>
      </c>
      <c r="B131" s="3" t="s">
        <v>33</v>
      </c>
      <c r="C131" s="11" t="s">
        <v>106</v>
      </c>
      <c r="D131" s="3" t="s">
        <v>35</v>
      </c>
      <c r="E131" s="21" t="s">
        <v>36</v>
      </c>
      <c r="F131" s="14">
        <v>1947</v>
      </c>
      <c r="G131" s="14">
        <v>842</v>
      </c>
      <c r="H131" s="14">
        <v>101</v>
      </c>
      <c r="I131" s="14">
        <v>21417</v>
      </c>
      <c r="J131" s="14">
        <v>20967</v>
      </c>
      <c r="K131" s="14">
        <v>186</v>
      </c>
      <c r="L131" s="4" t="s">
        <v>62</v>
      </c>
      <c r="M131" s="5" t="s">
        <v>25</v>
      </c>
      <c r="N131" s="17" t="s">
        <v>62</v>
      </c>
      <c r="Q131" s="25">
        <f>(F131+G131+H131)/I131</f>
        <v>0.13493953401503478</v>
      </c>
      <c r="R131" s="15">
        <f t="shared" ref="R131:R194" si="2">F131+G131+H131</f>
        <v>2890</v>
      </c>
      <c r="T131">
        <v>117</v>
      </c>
      <c r="U131" s="9" t="s">
        <v>62</v>
      </c>
      <c r="V131">
        <f>RANK(T131, T:T)</f>
        <v>213</v>
      </c>
      <c r="W131"/>
      <c r="X131">
        <v>4551</v>
      </c>
      <c r="Y131">
        <v>207</v>
      </c>
      <c r="Z131" s="9" t="s">
        <v>62</v>
      </c>
      <c r="AA131">
        <f>X131+Y131</f>
        <v>4758</v>
      </c>
    </row>
    <row r="132" spans="1:27" ht="14.4" x14ac:dyDescent="0.3">
      <c r="A132" s="3" t="s">
        <v>300</v>
      </c>
      <c r="B132" s="3" t="s">
        <v>43</v>
      </c>
      <c r="C132" s="11" t="s">
        <v>301</v>
      </c>
      <c r="D132" s="3" t="s">
        <v>52</v>
      </c>
      <c r="E132" s="21" t="s">
        <v>59</v>
      </c>
      <c r="F132" s="14">
        <v>2072</v>
      </c>
      <c r="G132" s="14">
        <v>532</v>
      </c>
      <c r="H132" s="14">
        <v>71</v>
      </c>
      <c r="I132" s="14">
        <v>37296</v>
      </c>
      <c r="J132" s="14">
        <v>36467</v>
      </c>
      <c r="K132" s="14">
        <v>25</v>
      </c>
      <c r="L132" s="4" t="s">
        <v>30</v>
      </c>
      <c r="M132" s="5" t="s">
        <v>38</v>
      </c>
      <c r="N132" s="17" t="s">
        <v>30</v>
      </c>
      <c r="Q132" s="25">
        <f>(F132+G132+H132)/I132</f>
        <v>7.172350922350923E-2</v>
      </c>
      <c r="R132" s="15">
        <f t="shared" si="2"/>
        <v>2675</v>
      </c>
      <c r="T132">
        <v>91</v>
      </c>
      <c r="U132" s="9" t="s">
        <v>37</v>
      </c>
      <c r="V132">
        <f>RANK(T132, T:T)</f>
        <v>235</v>
      </c>
      <c r="W132"/>
      <c r="X132">
        <v>1970</v>
      </c>
      <c r="Y132">
        <v>478</v>
      </c>
      <c r="Z132" s="9" t="s">
        <v>62</v>
      </c>
      <c r="AA132">
        <f>X132+Y132</f>
        <v>2448</v>
      </c>
    </row>
    <row r="133" spans="1:27" ht="14.4" x14ac:dyDescent="0.3">
      <c r="A133" s="3" t="s">
        <v>302</v>
      </c>
      <c r="B133" s="3" t="s">
        <v>14</v>
      </c>
      <c r="C133" s="11" t="s">
        <v>303</v>
      </c>
      <c r="D133" s="3" t="s">
        <v>16</v>
      </c>
      <c r="E133" s="21" t="s">
        <v>17</v>
      </c>
      <c r="F133" s="14">
        <v>3731</v>
      </c>
      <c r="G133" s="14">
        <v>115</v>
      </c>
      <c r="H133" s="14">
        <v>135</v>
      </c>
      <c r="I133" s="14">
        <v>55965</v>
      </c>
      <c r="J133" s="14">
        <v>55436</v>
      </c>
      <c r="K133" s="14">
        <v>103</v>
      </c>
      <c r="L133" s="4" t="s">
        <v>30</v>
      </c>
      <c r="M133" s="5" t="s">
        <v>19</v>
      </c>
      <c r="N133" s="17" t="s">
        <v>30</v>
      </c>
      <c r="Q133" s="25">
        <f>(F133+G133+H133)/I133</f>
        <v>7.1133744304476013E-2</v>
      </c>
      <c r="R133" s="15">
        <f t="shared" si="2"/>
        <v>3981</v>
      </c>
      <c r="T133">
        <v>185</v>
      </c>
      <c r="U133" s="9" t="s">
        <v>62</v>
      </c>
      <c r="V133">
        <f>RANK(T133, T:T)</f>
        <v>139</v>
      </c>
      <c r="W133"/>
      <c r="X133">
        <v>780</v>
      </c>
      <c r="Y133">
        <v>301</v>
      </c>
      <c r="Z133" s="9" t="s">
        <v>37</v>
      </c>
      <c r="AA133">
        <f>X133+Y133</f>
        <v>1081</v>
      </c>
    </row>
    <row r="134" spans="1:27" ht="14.4" x14ac:dyDescent="0.3">
      <c r="A134" s="3" t="s">
        <v>304</v>
      </c>
      <c r="B134" s="3" t="s">
        <v>43</v>
      </c>
      <c r="C134" s="11" t="s">
        <v>305</v>
      </c>
      <c r="D134" s="3" t="s">
        <v>22</v>
      </c>
      <c r="E134" s="21" t="s">
        <v>56</v>
      </c>
      <c r="F134" s="14">
        <v>4213</v>
      </c>
      <c r="G134" s="14">
        <v>253</v>
      </c>
      <c r="H134" s="14">
        <v>434</v>
      </c>
      <c r="I134" s="14">
        <v>75834</v>
      </c>
      <c r="J134" s="14">
        <v>75437</v>
      </c>
      <c r="K134" s="14">
        <v>272</v>
      </c>
      <c r="L134" s="4" t="s">
        <v>62</v>
      </c>
      <c r="M134" s="5" t="s">
        <v>38</v>
      </c>
      <c r="N134" s="17" t="s">
        <v>62</v>
      </c>
      <c r="Q134" s="25">
        <f>(F134+G134+H134)/I134</f>
        <v>6.461481657304112E-2</v>
      </c>
      <c r="R134" s="15">
        <f t="shared" si="2"/>
        <v>4900</v>
      </c>
      <c r="T134">
        <v>264</v>
      </c>
      <c r="U134" s="9" t="s">
        <v>37</v>
      </c>
      <c r="V134">
        <f>RANK(T134, T:T)</f>
        <v>36</v>
      </c>
      <c r="W134"/>
      <c r="X134">
        <v>498</v>
      </c>
      <c r="Y134">
        <v>412</v>
      </c>
      <c r="Z134" s="9" t="s">
        <v>62</v>
      </c>
      <c r="AA134">
        <f>X134+Y134</f>
        <v>910</v>
      </c>
    </row>
    <row r="135" spans="1:27" ht="14.4" x14ac:dyDescent="0.3">
      <c r="A135" s="3" t="s">
        <v>306</v>
      </c>
      <c r="B135" s="3" t="s">
        <v>33</v>
      </c>
      <c r="C135" s="11" t="s">
        <v>307</v>
      </c>
      <c r="D135" s="3" t="s">
        <v>22</v>
      </c>
      <c r="E135" s="21" t="s">
        <v>113</v>
      </c>
      <c r="F135" s="14">
        <v>3134</v>
      </c>
      <c r="G135" s="14">
        <v>888</v>
      </c>
      <c r="H135" s="14">
        <v>444</v>
      </c>
      <c r="I135" s="14">
        <v>21938</v>
      </c>
      <c r="J135" s="14">
        <v>21337</v>
      </c>
      <c r="K135" s="14">
        <v>130</v>
      </c>
      <c r="L135" s="4" t="s">
        <v>37</v>
      </c>
      <c r="M135" s="5" t="s">
        <v>38</v>
      </c>
      <c r="N135" s="17" t="s">
        <v>37</v>
      </c>
      <c r="Q135" s="25">
        <f>(F135+G135+H135)/I135</f>
        <v>0.20357370772176134</v>
      </c>
      <c r="R135" s="15">
        <f t="shared" si="2"/>
        <v>4466</v>
      </c>
      <c r="T135">
        <v>157</v>
      </c>
      <c r="U135" s="9" t="s">
        <v>37</v>
      </c>
      <c r="V135">
        <f>RANK(T135, T:T)</f>
        <v>169</v>
      </c>
      <c r="W135"/>
      <c r="X135">
        <v>3432</v>
      </c>
      <c r="Y135">
        <v>123</v>
      </c>
      <c r="Z135" s="9" t="s">
        <v>37</v>
      </c>
      <c r="AA135">
        <f>X135+Y135</f>
        <v>3555</v>
      </c>
    </row>
    <row r="136" spans="1:27" ht="14.4" x14ac:dyDescent="0.3">
      <c r="A136" s="3" t="s">
        <v>308</v>
      </c>
      <c r="B136" s="3" t="s">
        <v>43</v>
      </c>
      <c r="C136" s="11" t="s">
        <v>115</v>
      </c>
      <c r="D136" s="3" t="s">
        <v>74</v>
      </c>
      <c r="E136" s="21" t="s">
        <v>75</v>
      </c>
      <c r="F136" s="14">
        <v>3008</v>
      </c>
      <c r="G136" s="14">
        <v>94</v>
      </c>
      <c r="H136" s="14">
        <v>37</v>
      </c>
      <c r="I136" s="14">
        <v>15040</v>
      </c>
      <c r="J136" s="14">
        <v>14639</v>
      </c>
      <c r="K136" s="14">
        <v>277</v>
      </c>
      <c r="L136" s="4" t="s">
        <v>62</v>
      </c>
      <c r="M136" s="5"/>
      <c r="N136" s="17" t="s">
        <v>62</v>
      </c>
      <c r="Q136" s="25">
        <f>(F136+G136+H136)/I136</f>
        <v>0.20871010638297871</v>
      </c>
      <c r="R136" s="15">
        <f t="shared" si="2"/>
        <v>3139</v>
      </c>
      <c r="T136">
        <v>19</v>
      </c>
      <c r="U136" s="9" t="s">
        <v>37</v>
      </c>
      <c r="V136">
        <f>RANK(T136, T:T)</f>
        <v>319</v>
      </c>
      <c r="W136"/>
      <c r="X136">
        <v>4363</v>
      </c>
      <c r="Y136">
        <v>140</v>
      </c>
      <c r="Z136" s="9" t="s">
        <v>37</v>
      </c>
      <c r="AA136">
        <f>X136+Y136</f>
        <v>4503</v>
      </c>
    </row>
    <row r="137" spans="1:27" ht="14.4" x14ac:dyDescent="0.3">
      <c r="A137" s="3" t="s">
        <v>309</v>
      </c>
      <c r="B137" s="3" t="s">
        <v>14</v>
      </c>
      <c r="C137" s="11" t="s">
        <v>188</v>
      </c>
      <c r="D137" s="3" t="s">
        <v>52</v>
      </c>
      <c r="E137" s="21" t="s">
        <v>132</v>
      </c>
      <c r="F137" s="14">
        <v>305</v>
      </c>
      <c r="G137" s="14">
        <v>187</v>
      </c>
      <c r="H137" s="14">
        <v>243</v>
      </c>
      <c r="I137" s="14">
        <v>4575</v>
      </c>
      <c r="J137" s="14">
        <v>3704</v>
      </c>
      <c r="K137" s="14">
        <v>234</v>
      </c>
      <c r="L137" s="4" t="s">
        <v>62</v>
      </c>
      <c r="M137" s="5" t="s">
        <v>31</v>
      </c>
      <c r="N137" s="17" t="s">
        <v>62</v>
      </c>
      <c r="Q137" s="25">
        <f>(F137+G137+H137)/I137</f>
        <v>0.16065573770491803</v>
      </c>
      <c r="R137" s="15">
        <f t="shared" si="2"/>
        <v>735</v>
      </c>
      <c r="T137">
        <v>233</v>
      </c>
      <c r="U137" s="9" t="s">
        <v>30</v>
      </c>
      <c r="V137">
        <f>RANK(T137, T:T)</f>
        <v>76</v>
      </c>
      <c r="W137"/>
      <c r="X137">
        <v>736</v>
      </c>
      <c r="Y137">
        <v>225</v>
      </c>
      <c r="Z137" s="9" t="s">
        <v>37</v>
      </c>
      <c r="AA137">
        <f>X137+Y137</f>
        <v>961</v>
      </c>
    </row>
    <row r="138" spans="1:27" ht="14.4" x14ac:dyDescent="0.3">
      <c r="A138" s="3" t="s">
        <v>310</v>
      </c>
      <c r="B138" s="3" t="s">
        <v>27</v>
      </c>
      <c r="C138" s="11" t="s">
        <v>311</v>
      </c>
      <c r="D138" s="3" t="s">
        <v>22</v>
      </c>
      <c r="E138" s="21" t="s">
        <v>104</v>
      </c>
      <c r="F138" s="14">
        <v>2746</v>
      </c>
      <c r="G138" s="14">
        <v>156</v>
      </c>
      <c r="H138" s="14">
        <v>203</v>
      </c>
      <c r="I138" s="14">
        <v>32952</v>
      </c>
      <c r="J138" s="14">
        <v>32147</v>
      </c>
      <c r="K138" s="14">
        <v>147</v>
      </c>
      <c r="L138" s="4" t="s">
        <v>37</v>
      </c>
      <c r="M138" s="5" t="s">
        <v>19</v>
      </c>
      <c r="N138" s="17" t="s">
        <v>37</v>
      </c>
      <c r="Q138" s="25">
        <f>(F138+G138+H138)/I138</f>
        <v>9.422796795338674E-2</v>
      </c>
      <c r="R138" s="15">
        <f t="shared" si="2"/>
        <v>3105</v>
      </c>
      <c r="T138">
        <v>142</v>
      </c>
      <c r="U138" s="9" t="s">
        <v>62</v>
      </c>
      <c r="V138">
        <f>RANK(T138, T:T)</f>
        <v>183</v>
      </c>
      <c r="W138"/>
      <c r="X138">
        <v>3811</v>
      </c>
      <c r="Y138">
        <v>216</v>
      </c>
      <c r="Z138" s="9" t="s">
        <v>30</v>
      </c>
      <c r="AA138">
        <f>X138+Y138</f>
        <v>4027</v>
      </c>
    </row>
    <row r="139" spans="1:27" ht="14.4" x14ac:dyDescent="0.3">
      <c r="A139" s="3" t="s">
        <v>312</v>
      </c>
      <c r="B139" s="3" t="s">
        <v>43</v>
      </c>
      <c r="C139" s="11" t="s">
        <v>313</v>
      </c>
      <c r="D139" s="3" t="s">
        <v>52</v>
      </c>
      <c r="E139" s="21" t="s">
        <v>59</v>
      </c>
      <c r="F139" s="14">
        <v>2291</v>
      </c>
      <c r="G139" s="14">
        <v>78</v>
      </c>
      <c r="H139" s="14">
        <v>485</v>
      </c>
      <c r="I139" s="14">
        <v>18328</v>
      </c>
      <c r="J139" s="14">
        <v>18101</v>
      </c>
      <c r="K139" s="14">
        <v>10</v>
      </c>
      <c r="L139" s="4" t="s">
        <v>314</v>
      </c>
      <c r="M139" s="5" t="s">
        <v>25</v>
      </c>
      <c r="N139" s="17" t="s">
        <v>37</v>
      </c>
      <c r="O139" s="17" t="s">
        <v>588</v>
      </c>
      <c r="Q139" s="25">
        <f>(F139+G139+H139)/I139</f>
        <v>0.15571802706241816</v>
      </c>
      <c r="R139" s="15">
        <f t="shared" si="2"/>
        <v>2854</v>
      </c>
      <c r="T139">
        <v>158</v>
      </c>
      <c r="U139" s="9" t="s">
        <v>62</v>
      </c>
      <c r="V139">
        <f>RANK(T139, T:T)</f>
        <v>167</v>
      </c>
      <c r="W139"/>
      <c r="X139">
        <v>4158</v>
      </c>
      <c r="Y139">
        <v>241</v>
      </c>
      <c r="Z139" s="9" t="s">
        <v>62</v>
      </c>
      <c r="AA139">
        <f>X139+Y139</f>
        <v>4399</v>
      </c>
    </row>
    <row r="140" spans="1:27" ht="14.4" x14ac:dyDescent="0.3">
      <c r="A140" s="3" t="s">
        <v>315</v>
      </c>
      <c r="B140" s="3" t="s">
        <v>14</v>
      </c>
      <c r="C140" s="11" t="s">
        <v>316</v>
      </c>
      <c r="D140" s="3" t="s">
        <v>52</v>
      </c>
      <c r="E140" s="21" t="s">
        <v>132</v>
      </c>
      <c r="F140" s="14">
        <v>3170</v>
      </c>
      <c r="G140" s="14">
        <v>857</v>
      </c>
      <c r="H140" s="14">
        <v>379</v>
      </c>
      <c r="I140" s="14">
        <v>19020</v>
      </c>
      <c r="J140" s="14">
        <v>18559</v>
      </c>
      <c r="K140" s="14">
        <v>240</v>
      </c>
      <c r="L140" s="4" t="s">
        <v>62</v>
      </c>
      <c r="M140" s="5"/>
      <c r="N140" s="17" t="s">
        <v>62</v>
      </c>
      <c r="Q140" s="25">
        <f>(F140+G140+H140)/I140</f>
        <v>0.2316508937960042</v>
      </c>
      <c r="R140" s="15">
        <f t="shared" si="2"/>
        <v>4406</v>
      </c>
      <c r="T140">
        <v>170</v>
      </c>
      <c r="U140" s="9" t="s">
        <v>30</v>
      </c>
      <c r="V140">
        <f>RANK(T140, T:T)</f>
        <v>155</v>
      </c>
      <c r="W140"/>
      <c r="X140">
        <v>3452</v>
      </c>
      <c r="Y140">
        <v>442</v>
      </c>
      <c r="Z140" s="9" t="s">
        <v>62</v>
      </c>
      <c r="AA140">
        <f>X140+Y140</f>
        <v>3894</v>
      </c>
    </row>
    <row r="141" spans="1:27" ht="14.4" x14ac:dyDescent="0.3">
      <c r="A141" s="3" t="s">
        <v>317</v>
      </c>
      <c r="B141" s="3" t="s">
        <v>27</v>
      </c>
      <c r="C141" s="11" t="s">
        <v>263</v>
      </c>
      <c r="D141" s="3" t="s">
        <v>35</v>
      </c>
      <c r="E141" s="21" t="s">
        <v>154</v>
      </c>
      <c r="F141" s="14">
        <v>2070</v>
      </c>
      <c r="G141" s="14">
        <v>275</v>
      </c>
      <c r="H141" s="14">
        <v>386</v>
      </c>
      <c r="I141" s="14">
        <v>39330</v>
      </c>
      <c r="J141" s="14">
        <v>38627</v>
      </c>
      <c r="K141" s="14">
        <v>114</v>
      </c>
      <c r="L141" s="4" t="s">
        <v>62</v>
      </c>
      <c r="M141" s="5" t="s">
        <v>38</v>
      </c>
      <c r="N141" s="17" t="s">
        <v>62</v>
      </c>
      <c r="Q141" s="25">
        <f>(F141+G141+H141)/I141</f>
        <v>6.9438087973557078E-2</v>
      </c>
      <c r="R141" s="15">
        <f t="shared" si="2"/>
        <v>2731</v>
      </c>
      <c r="T141">
        <v>22</v>
      </c>
      <c r="U141" s="9" t="s">
        <v>37</v>
      </c>
      <c r="V141">
        <f>RANK(T141, T:T)</f>
        <v>313</v>
      </c>
      <c r="W141"/>
      <c r="X141">
        <v>2147</v>
      </c>
      <c r="Y141">
        <v>393</v>
      </c>
      <c r="Z141" s="9" t="s">
        <v>30</v>
      </c>
      <c r="AA141">
        <f>X141+Y141</f>
        <v>2540</v>
      </c>
    </row>
    <row r="142" spans="1:27" ht="14.4" x14ac:dyDescent="0.3">
      <c r="A142" s="3" t="s">
        <v>318</v>
      </c>
      <c r="B142" s="3" t="s">
        <v>27</v>
      </c>
      <c r="C142" s="11" t="s">
        <v>273</v>
      </c>
      <c r="D142" s="3" t="s">
        <v>45</v>
      </c>
      <c r="E142" s="21" t="s">
        <v>68</v>
      </c>
      <c r="F142" s="14">
        <v>80</v>
      </c>
      <c r="G142" s="14">
        <v>362</v>
      </c>
      <c r="H142" s="14">
        <v>80</v>
      </c>
      <c r="I142" s="14">
        <v>1040</v>
      </c>
      <c r="J142" s="14">
        <v>349</v>
      </c>
      <c r="K142" s="14">
        <v>117</v>
      </c>
      <c r="L142" s="4" t="s">
        <v>30</v>
      </c>
      <c r="M142" s="5" t="s">
        <v>31</v>
      </c>
      <c r="N142" s="17" t="s">
        <v>30</v>
      </c>
      <c r="Q142" s="25">
        <f>(F142+G142+H142)/I142</f>
        <v>0.50192307692307692</v>
      </c>
      <c r="R142" s="15">
        <f t="shared" si="2"/>
        <v>522</v>
      </c>
      <c r="T142">
        <v>57</v>
      </c>
      <c r="U142" s="9" t="s">
        <v>62</v>
      </c>
      <c r="V142">
        <f>RANK(T142, T:T)</f>
        <v>268</v>
      </c>
      <c r="W142"/>
      <c r="X142">
        <v>2936</v>
      </c>
      <c r="Y142">
        <v>44</v>
      </c>
      <c r="Z142" s="9" t="s">
        <v>37</v>
      </c>
      <c r="AA142">
        <f>X142+Y142</f>
        <v>2980</v>
      </c>
    </row>
    <row r="143" spans="1:27" ht="14.4" x14ac:dyDescent="0.3">
      <c r="A143" s="3" t="s">
        <v>319</v>
      </c>
      <c r="B143" s="3" t="s">
        <v>27</v>
      </c>
      <c r="C143" s="11" t="s">
        <v>201</v>
      </c>
      <c r="D143" s="3" t="s">
        <v>35</v>
      </c>
      <c r="E143" s="21" t="s">
        <v>154</v>
      </c>
      <c r="F143" s="14">
        <v>4929</v>
      </c>
      <c r="G143" s="14">
        <v>749</v>
      </c>
      <c r="H143" s="14">
        <v>452</v>
      </c>
      <c r="I143" s="14">
        <v>93651</v>
      </c>
      <c r="J143" s="14">
        <v>92810</v>
      </c>
      <c r="K143" s="14">
        <v>66</v>
      </c>
      <c r="L143" s="4" t="s">
        <v>37</v>
      </c>
      <c r="M143" s="5" t="s">
        <v>38</v>
      </c>
      <c r="N143" s="17" t="s">
        <v>37</v>
      </c>
      <c r="Q143" s="25">
        <f>(F143+G143+H143)/I143</f>
        <v>6.5455787978772245E-2</v>
      </c>
      <c r="R143" s="15">
        <f t="shared" si="2"/>
        <v>6130</v>
      </c>
      <c r="T143">
        <v>186</v>
      </c>
      <c r="U143" s="9" t="s">
        <v>62</v>
      </c>
      <c r="V143">
        <f>RANK(T143, T:T)</f>
        <v>138</v>
      </c>
      <c r="W143"/>
      <c r="X143">
        <v>4840</v>
      </c>
      <c r="Y143">
        <v>211</v>
      </c>
      <c r="Z143" s="9" t="s">
        <v>62</v>
      </c>
      <c r="AA143">
        <f>X143+Y143</f>
        <v>5051</v>
      </c>
    </row>
    <row r="144" spans="1:27" ht="14.4" x14ac:dyDescent="0.3">
      <c r="A144" s="3" t="s">
        <v>320</v>
      </c>
      <c r="B144" s="3" t="s">
        <v>33</v>
      </c>
      <c r="C144" s="11" t="s">
        <v>34</v>
      </c>
      <c r="D144" s="3" t="s">
        <v>45</v>
      </c>
      <c r="E144" s="21" t="s">
        <v>88</v>
      </c>
      <c r="F144" s="14">
        <v>1878</v>
      </c>
      <c r="G144" s="14">
        <v>62</v>
      </c>
      <c r="H144" s="14">
        <v>179</v>
      </c>
      <c r="I144" s="14">
        <v>37560</v>
      </c>
      <c r="J144" s="14">
        <v>36874</v>
      </c>
      <c r="K144" s="14">
        <v>142</v>
      </c>
      <c r="L144" s="4" t="s">
        <v>30</v>
      </c>
      <c r="M144" s="5" t="s">
        <v>38</v>
      </c>
      <c r="N144" s="17" t="s">
        <v>30</v>
      </c>
      <c r="Q144" s="25">
        <f>(F144+G144+H144)/I144</f>
        <v>5.6416400425985093E-2</v>
      </c>
      <c r="R144" s="15">
        <f t="shared" si="2"/>
        <v>2119</v>
      </c>
      <c r="T144">
        <v>25</v>
      </c>
      <c r="U144" s="9" t="s">
        <v>30</v>
      </c>
      <c r="V144">
        <f>RANK(T144, T:T)</f>
        <v>304</v>
      </c>
      <c r="W144"/>
      <c r="X144">
        <v>1947</v>
      </c>
      <c r="Y144">
        <v>101</v>
      </c>
      <c r="Z144" s="9" t="s">
        <v>62</v>
      </c>
      <c r="AA144">
        <f>X144+Y144</f>
        <v>2048</v>
      </c>
    </row>
    <row r="145" spans="1:27" ht="14.4" x14ac:dyDescent="0.3">
      <c r="A145" s="3" t="s">
        <v>321</v>
      </c>
      <c r="B145" s="3" t="s">
        <v>27</v>
      </c>
      <c r="C145" s="11" t="s">
        <v>322</v>
      </c>
      <c r="D145" s="3" t="s">
        <v>16</v>
      </c>
      <c r="E145" s="21" t="s">
        <v>29</v>
      </c>
      <c r="F145" s="14">
        <v>3065</v>
      </c>
      <c r="G145" s="14">
        <v>772</v>
      </c>
      <c r="H145" s="14">
        <v>142</v>
      </c>
      <c r="I145" s="14">
        <v>18390</v>
      </c>
      <c r="J145" s="14">
        <v>17875</v>
      </c>
      <c r="K145" s="14">
        <v>200</v>
      </c>
      <c r="L145" s="4" t="s">
        <v>323</v>
      </c>
      <c r="M145" s="5"/>
      <c r="N145" s="17" t="s">
        <v>37</v>
      </c>
      <c r="O145" s="17" t="s">
        <v>593</v>
      </c>
      <c r="Q145" s="25">
        <f>(F145+G145+H145)/I145</f>
        <v>0.21636759108210984</v>
      </c>
      <c r="R145" s="15">
        <f t="shared" si="2"/>
        <v>3979</v>
      </c>
      <c r="T145">
        <v>103</v>
      </c>
      <c r="U145" s="9" t="s">
        <v>30</v>
      </c>
      <c r="V145">
        <f>RANK(T145, T:T)</f>
        <v>226</v>
      </c>
      <c r="W145"/>
      <c r="X145">
        <v>2072</v>
      </c>
      <c r="Y145">
        <v>71</v>
      </c>
      <c r="Z145" s="9" t="s">
        <v>30</v>
      </c>
      <c r="AA145">
        <f>X145+Y145</f>
        <v>2143</v>
      </c>
    </row>
    <row r="146" spans="1:27" ht="14.4" x14ac:dyDescent="0.3">
      <c r="A146" s="3" t="s">
        <v>324</v>
      </c>
      <c r="B146" s="3" t="s">
        <v>33</v>
      </c>
      <c r="C146" s="11" t="s">
        <v>168</v>
      </c>
      <c r="D146" s="3" t="s">
        <v>16</v>
      </c>
      <c r="E146" s="21" t="s">
        <v>82</v>
      </c>
      <c r="F146" s="14">
        <v>3256</v>
      </c>
      <c r="G146" s="14">
        <v>459</v>
      </c>
      <c r="H146" s="14">
        <v>266</v>
      </c>
      <c r="I146" s="14">
        <v>26048</v>
      </c>
      <c r="J146" s="14">
        <v>25529</v>
      </c>
      <c r="K146" s="14">
        <v>143</v>
      </c>
      <c r="L146" s="4" t="s">
        <v>30</v>
      </c>
      <c r="M146" s="5" t="s">
        <v>25</v>
      </c>
      <c r="N146" s="17" t="s">
        <v>30</v>
      </c>
      <c r="Q146" s="25">
        <f>(F146+G146+H146)/I146</f>
        <v>0.15283323095823095</v>
      </c>
      <c r="R146" s="15">
        <f t="shared" si="2"/>
        <v>3981</v>
      </c>
      <c r="T146">
        <v>272</v>
      </c>
      <c r="U146" s="9" t="s">
        <v>62</v>
      </c>
      <c r="V146">
        <f>RANK(T146, T:T)</f>
        <v>27</v>
      </c>
      <c r="W146"/>
      <c r="X146">
        <v>3731</v>
      </c>
      <c r="Y146">
        <v>135</v>
      </c>
      <c r="Z146" s="9" t="s">
        <v>30</v>
      </c>
      <c r="AA146">
        <f>X146+Y146</f>
        <v>3866</v>
      </c>
    </row>
    <row r="147" spans="1:27" ht="14.4" x14ac:dyDescent="0.3">
      <c r="A147" s="3" t="s">
        <v>325</v>
      </c>
      <c r="B147" s="3" t="s">
        <v>33</v>
      </c>
      <c r="C147" s="11" t="s">
        <v>170</v>
      </c>
      <c r="D147" s="3" t="s">
        <v>74</v>
      </c>
      <c r="E147" s="21" t="s">
        <v>85</v>
      </c>
      <c r="F147" s="14">
        <v>4133</v>
      </c>
      <c r="G147" s="14">
        <v>466</v>
      </c>
      <c r="H147" s="14">
        <v>327</v>
      </c>
      <c r="I147" s="14">
        <v>24798</v>
      </c>
      <c r="J147" s="14">
        <v>24620</v>
      </c>
      <c r="K147" s="14">
        <v>176</v>
      </c>
      <c r="L147" s="4" t="s">
        <v>37</v>
      </c>
      <c r="M147" s="5" t="s">
        <v>38</v>
      </c>
      <c r="N147" s="17" t="s">
        <v>37</v>
      </c>
      <c r="Q147" s="25">
        <f>(F147+G147+H147)/I147</f>
        <v>0.19864505202032423</v>
      </c>
      <c r="R147" s="15">
        <f t="shared" si="2"/>
        <v>4926</v>
      </c>
      <c r="T147">
        <v>130</v>
      </c>
      <c r="U147" s="9" t="s">
        <v>37</v>
      </c>
      <c r="V147">
        <f>RANK(T147, T:T)</f>
        <v>195</v>
      </c>
      <c r="W147"/>
      <c r="X147">
        <v>4213</v>
      </c>
      <c r="Y147">
        <v>434</v>
      </c>
      <c r="Z147" s="9" t="s">
        <v>62</v>
      </c>
      <c r="AA147">
        <f>X147+Y147</f>
        <v>4647</v>
      </c>
    </row>
    <row r="148" spans="1:27" ht="14.4" x14ac:dyDescent="0.3">
      <c r="A148" s="3" t="s">
        <v>326</v>
      </c>
      <c r="B148" s="3" t="s">
        <v>14</v>
      </c>
      <c r="C148" s="11" t="s">
        <v>327</v>
      </c>
      <c r="D148" s="3" t="s">
        <v>74</v>
      </c>
      <c r="E148" s="21" t="s">
        <v>145</v>
      </c>
      <c r="F148" s="14">
        <v>1702</v>
      </c>
      <c r="G148" s="14">
        <v>750</v>
      </c>
      <c r="H148" s="14">
        <v>179</v>
      </c>
      <c r="I148" s="14">
        <v>34040</v>
      </c>
      <c r="J148" s="14">
        <v>33174</v>
      </c>
      <c r="K148" s="14">
        <v>76</v>
      </c>
      <c r="L148" s="4" t="s">
        <v>37</v>
      </c>
      <c r="M148" s="5" t="s">
        <v>19</v>
      </c>
      <c r="N148" s="17" t="s">
        <v>37</v>
      </c>
      <c r="Q148" s="25">
        <f>(F148+G148+H148)/I148</f>
        <v>7.7291421856639245E-2</v>
      </c>
      <c r="R148" s="15">
        <f t="shared" si="2"/>
        <v>2631</v>
      </c>
      <c r="T148">
        <v>277</v>
      </c>
      <c r="U148" s="9" t="s">
        <v>62</v>
      </c>
      <c r="V148">
        <f>RANK(T148, T:T)</f>
        <v>22</v>
      </c>
      <c r="W148"/>
      <c r="X148">
        <v>3134</v>
      </c>
      <c r="Y148">
        <v>444</v>
      </c>
      <c r="Z148" s="9" t="s">
        <v>37</v>
      </c>
      <c r="AA148">
        <f>X148+Y148</f>
        <v>3578</v>
      </c>
    </row>
    <row r="149" spans="1:27" ht="14.4" x14ac:dyDescent="0.3">
      <c r="A149" s="3" t="s">
        <v>328</v>
      </c>
      <c r="B149" s="3" t="s">
        <v>27</v>
      </c>
      <c r="C149" s="11" t="s">
        <v>329</v>
      </c>
      <c r="D149" s="3" t="s">
        <v>45</v>
      </c>
      <c r="E149" s="21" t="s">
        <v>68</v>
      </c>
      <c r="F149" s="14">
        <v>4295</v>
      </c>
      <c r="G149" s="14">
        <v>853</v>
      </c>
      <c r="H149" s="14">
        <v>325</v>
      </c>
      <c r="I149" s="14">
        <v>85900</v>
      </c>
      <c r="J149" s="14">
        <v>85788</v>
      </c>
      <c r="K149" s="14">
        <v>290</v>
      </c>
      <c r="L149" s="4" t="s">
        <v>30</v>
      </c>
      <c r="M149" s="5" t="s">
        <v>38</v>
      </c>
      <c r="N149" s="17" t="s">
        <v>30</v>
      </c>
      <c r="Q149" s="25">
        <f>(F149+G149+H149)/I149</f>
        <v>6.3713620488940623E-2</v>
      </c>
      <c r="R149" s="15">
        <f t="shared" si="2"/>
        <v>5473</v>
      </c>
      <c r="T149">
        <v>234</v>
      </c>
      <c r="U149" s="9" t="s">
        <v>62</v>
      </c>
      <c r="V149">
        <f>RANK(T149, T:T)</f>
        <v>75</v>
      </c>
      <c r="W149"/>
      <c r="X149">
        <v>3008</v>
      </c>
      <c r="Y149">
        <v>37</v>
      </c>
      <c r="Z149" s="9" t="s">
        <v>62</v>
      </c>
      <c r="AA149">
        <f>X149+Y149</f>
        <v>3045</v>
      </c>
    </row>
    <row r="150" spans="1:27" ht="14.4" x14ac:dyDescent="0.3">
      <c r="A150" s="3" t="s">
        <v>330</v>
      </c>
      <c r="B150" s="3" t="s">
        <v>33</v>
      </c>
      <c r="C150" s="11" t="s">
        <v>186</v>
      </c>
      <c r="D150" s="3" t="s">
        <v>52</v>
      </c>
      <c r="E150" s="21" t="s">
        <v>215</v>
      </c>
      <c r="F150" s="14">
        <v>3559</v>
      </c>
      <c r="G150" s="14">
        <v>59</v>
      </c>
      <c r="H150" s="14">
        <v>289</v>
      </c>
      <c r="I150" s="14">
        <v>35590</v>
      </c>
      <c r="J150" s="14">
        <v>35105</v>
      </c>
      <c r="K150" s="14">
        <v>122</v>
      </c>
      <c r="L150" s="4" t="s">
        <v>37</v>
      </c>
      <c r="M150" s="5" t="s">
        <v>19</v>
      </c>
      <c r="N150" s="17" t="s">
        <v>37</v>
      </c>
      <c r="Q150" s="25">
        <f>(F150+G150+H150)/I150</f>
        <v>0.10977802753582468</v>
      </c>
      <c r="R150" s="15">
        <f t="shared" si="2"/>
        <v>3907</v>
      </c>
      <c r="T150">
        <v>147</v>
      </c>
      <c r="U150" s="9" t="s">
        <v>37</v>
      </c>
      <c r="V150">
        <f>RANK(T150, T:T)</f>
        <v>176</v>
      </c>
      <c r="W150"/>
      <c r="X150">
        <v>305</v>
      </c>
      <c r="Y150">
        <v>243</v>
      </c>
      <c r="Z150" s="9" t="s">
        <v>62</v>
      </c>
      <c r="AA150">
        <f>X150+Y150</f>
        <v>548</v>
      </c>
    </row>
    <row r="151" spans="1:27" ht="14.4" x14ac:dyDescent="0.3">
      <c r="A151" s="3" t="s">
        <v>331</v>
      </c>
      <c r="B151" s="3" t="s">
        <v>43</v>
      </c>
      <c r="C151" s="11" t="s">
        <v>332</v>
      </c>
      <c r="D151" s="3" t="s">
        <v>52</v>
      </c>
      <c r="E151" s="21" t="s">
        <v>59</v>
      </c>
      <c r="F151" s="14">
        <v>4804</v>
      </c>
      <c r="G151" s="14">
        <v>550</v>
      </c>
      <c r="H151" s="14">
        <v>270</v>
      </c>
      <c r="I151" s="14">
        <v>28824</v>
      </c>
      <c r="J151" s="14">
        <v>28370</v>
      </c>
      <c r="K151" s="14">
        <v>47</v>
      </c>
      <c r="L151" s="4" t="s">
        <v>37</v>
      </c>
      <c r="M151" s="5" t="s">
        <v>38</v>
      </c>
      <c r="N151" s="17" t="s">
        <v>37</v>
      </c>
      <c r="Q151" s="25">
        <f>(F151+G151+H151)/I151</f>
        <v>0.19511518179295032</v>
      </c>
      <c r="R151" s="15">
        <f t="shared" si="2"/>
        <v>5624</v>
      </c>
      <c r="T151">
        <v>10</v>
      </c>
      <c r="U151" s="9" t="s">
        <v>37</v>
      </c>
      <c r="V151">
        <f>RANK(T151, T:T)</f>
        <v>331</v>
      </c>
      <c r="W151"/>
      <c r="X151">
        <v>2746</v>
      </c>
      <c r="Y151">
        <v>203</v>
      </c>
      <c r="Z151" s="9" t="s">
        <v>37</v>
      </c>
      <c r="AA151">
        <f>X151+Y151</f>
        <v>2949</v>
      </c>
    </row>
    <row r="152" spans="1:27" ht="14.4" x14ac:dyDescent="0.3">
      <c r="A152" s="3" t="s">
        <v>333</v>
      </c>
      <c r="B152" s="3" t="s">
        <v>14</v>
      </c>
      <c r="C152" s="11" t="s">
        <v>334</v>
      </c>
      <c r="D152" s="3" t="s">
        <v>74</v>
      </c>
      <c r="E152" s="21" t="s">
        <v>145</v>
      </c>
      <c r="F152" s="14">
        <v>754</v>
      </c>
      <c r="G152" s="14">
        <v>197</v>
      </c>
      <c r="H152" s="14">
        <v>257</v>
      </c>
      <c r="I152" s="14">
        <v>6786</v>
      </c>
      <c r="J152" s="14">
        <v>6221</v>
      </c>
      <c r="K152" s="14">
        <v>212</v>
      </c>
      <c r="L152" s="4" t="s">
        <v>30</v>
      </c>
      <c r="M152" s="5" t="s">
        <v>31</v>
      </c>
      <c r="N152" s="17" t="s">
        <v>30</v>
      </c>
      <c r="Q152" s="25">
        <f>(F152+G152+H152)/I152</f>
        <v>0.17801355732390214</v>
      </c>
      <c r="R152" s="15">
        <f t="shared" si="2"/>
        <v>1208</v>
      </c>
      <c r="T152">
        <v>10</v>
      </c>
      <c r="U152" s="9" t="s">
        <v>588</v>
      </c>
      <c r="V152">
        <f>RANK(T152, T:T)</f>
        <v>331</v>
      </c>
      <c r="W152"/>
      <c r="X152">
        <v>2291</v>
      </c>
      <c r="Y152">
        <v>485</v>
      </c>
      <c r="Z152" s="9" t="s">
        <v>37</v>
      </c>
      <c r="AA152">
        <f>X152+Y152</f>
        <v>2776</v>
      </c>
    </row>
    <row r="153" spans="1:27" ht="14.4" x14ac:dyDescent="0.3">
      <c r="A153" s="3" t="s">
        <v>335</v>
      </c>
      <c r="B153" s="3" t="s">
        <v>33</v>
      </c>
      <c r="C153" s="11" t="s">
        <v>209</v>
      </c>
      <c r="D153" s="3" t="s">
        <v>45</v>
      </c>
      <c r="E153" s="21" t="s">
        <v>88</v>
      </c>
      <c r="F153" s="14">
        <v>985</v>
      </c>
      <c r="G153" s="14">
        <v>932</v>
      </c>
      <c r="H153" s="14">
        <v>287</v>
      </c>
      <c r="I153" s="14">
        <v>6895</v>
      </c>
      <c r="J153" s="14">
        <v>6757</v>
      </c>
      <c r="K153" s="14">
        <v>64</v>
      </c>
      <c r="L153" s="4" t="s">
        <v>62</v>
      </c>
      <c r="M153" s="5" t="s">
        <v>38</v>
      </c>
      <c r="N153" s="17" t="s">
        <v>62</v>
      </c>
      <c r="Q153" s="25">
        <f>(F153+G153+H153)/I153</f>
        <v>0.31965192168237855</v>
      </c>
      <c r="R153" s="15">
        <f t="shared" si="2"/>
        <v>2204</v>
      </c>
      <c r="T153">
        <v>240</v>
      </c>
      <c r="U153" s="9" t="s">
        <v>62</v>
      </c>
      <c r="V153">
        <f>RANK(T153, T:T)</f>
        <v>60</v>
      </c>
      <c r="W153"/>
      <c r="X153">
        <v>2291</v>
      </c>
      <c r="Y153">
        <v>485</v>
      </c>
      <c r="Z153" s="9" t="s">
        <v>588</v>
      </c>
      <c r="AA153">
        <f>X153+Y153</f>
        <v>2776</v>
      </c>
    </row>
    <row r="154" spans="1:27" ht="14.4" x14ac:dyDescent="0.3">
      <c r="A154" s="3" t="s">
        <v>336</v>
      </c>
      <c r="B154" s="3" t="s">
        <v>27</v>
      </c>
      <c r="C154" s="11" t="s">
        <v>337</v>
      </c>
      <c r="D154" s="3" t="s">
        <v>52</v>
      </c>
      <c r="E154" s="21" t="s">
        <v>53</v>
      </c>
      <c r="F154" s="14">
        <v>2283</v>
      </c>
      <c r="G154" s="14">
        <v>210</v>
      </c>
      <c r="H154" s="14">
        <v>130</v>
      </c>
      <c r="I154" s="14">
        <v>22830</v>
      </c>
      <c r="J154" s="14">
        <v>22617</v>
      </c>
      <c r="K154" s="14">
        <v>143</v>
      </c>
      <c r="L154" s="4" t="s">
        <v>62</v>
      </c>
      <c r="M154" s="5" t="s">
        <v>25</v>
      </c>
      <c r="N154" s="17" t="s">
        <v>62</v>
      </c>
      <c r="Q154" s="25">
        <f>(F154+G154+H154)/I154</f>
        <v>0.11489268506351293</v>
      </c>
      <c r="R154" s="15">
        <f t="shared" si="2"/>
        <v>2623</v>
      </c>
      <c r="T154">
        <v>114</v>
      </c>
      <c r="U154" s="9" t="s">
        <v>62</v>
      </c>
      <c r="V154">
        <f>RANK(T154, T:T)</f>
        <v>217</v>
      </c>
      <c r="W154"/>
      <c r="X154">
        <v>3170</v>
      </c>
      <c r="Y154">
        <v>379</v>
      </c>
      <c r="Z154" s="9" t="s">
        <v>62</v>
      </c>
      <c r="AA154">
        <f>X154+Y154</f>
        <v>3549</v>
      </c>
    </row>
    <row r="155" spans="1:27" ht="14.4" x14ac:dyDescent="0.3">
      <c r="A155" s="3" t="s">
        <v>338</v>
      </c>
      <c r="B155" s="3" t="s">
        <v>43</v>
      </c>
      <c r="C155" s="11" t="s">
        <v>339</v>
      </c>
      <c r="D155" s="3" t="s">
        <v>45</v>
      </c>
      <c r="E155" s="21" t="s">
        <v>46</v>
      </c>
      <c r="F155" s="14">
        <v>3352</v>
      </c>
      <c r="G155" s="14">
        <v>941</v>
      </c>
      <c r="H155" s="14">
        <v>482</v>
      </c>
      <c r="I155" s="14">
        <v>43576</v>
      </c>
      <c r="J155" s="14">
        <v>43338</v>
      </c>
      <c r="K155" s="14">
        <v>240</v>
      </c>
      <c r="L155" s="4" t="s">
        <v>62</v>
      </c>
      <c r="M155" s="5" t="s">
        <v>25</v>
      </c>
      <c r="N155" s="17" t="s">
        <v>62</v>
      </c>
      <c r="Q155" s="25">
        <f>(F155+G155+H155)/I155</f>
        <v>0.1095786671562328</v>
      </c>
      <c r="R155" s="15">
        <f t="shared" si="2"/>
        <v>4775</v>
      </c>
      <c r="T155">
        <v>117</v>
      </c>
      <c r="U155" s="9" t="s">
        <v>30</v>
      </c>
      <c r="V155">
        <f>RANK(T155, T:T)</f>
        <v>213</v>
      </c>
      <c r="W155"/>
      <c r="X155">
        <v>2070</v>
      </c>
      <c r="Y155">
        <v>386</v>
      </c>
      <c r="Z155" s="9" t="s">
        <v>62</v>
      </c>
      <c r="AA155">
        <f>X155+Y155</f>
        <v>2456</v>
      </c>
    </row>
    <row r="156" spans="1:27" ht="14.4" x14ac:dyDescent="0.3">
      <c r="A156" s="3" t="s">
        <v>340</v>
      </c>
      <c r="B156" s="3" t="s">
        <v>27</v>
      </c>
      <c r="C156" s="11" t="s">
        <v>341</v>
      </c>
      <c r="D156" s="3" t="s">
        <v>35</v>
      </c>
      <c r="E156" s="21" t="s">
        <v>154</v>
      </c>
      <c r="F156" s="14">
        <v>4775</v>
      </c>
      <c r="G156" s="14">
        <v>173</v>
      </c>
      <c r="H156" s="14">
        <v>206</v>
      </c>
      <c r="I156" s="14">
        <v>47750</v>
      </c>
      <c r="J156" s="14">
        <v>47544</v>
      </c>
      <c r="K156" s="14">
        <v>187</v>
      </c>
      <c r="L156" s="4" t="s">
        <v>62</v>
      </c>
      <c r="M156" s="5" t="s">
        <v>25</v>
      </c>
      <c r="N156" s="17" t="s">
        <v>62</v>
      </c>
      <c r="Q156" s="25">
        <f>(F156+G156+H156)/I156</f>
        <v>0.10793717277486911</v>
      </c>
      <c r="R156" s="15">
        <f t="shared" si="2"/>
        <v>5154</v>
      </c>
      <c r="T156">
        <v>66</v>
      </c>
      <c r="U156" s="9" t="s">
        <v>37</v>
      </c>
      <c r="V156">
        <f>RANK(T156, T:T)</f>
        <v>258</v>
      </c>
      <c r="W156"/>
      <c r="X156">
        <v>80</v>
      </c>
      <c r="Y156">
        <v>80</v>
      </c>
      <c r="Z156" s="9" t="s">
        <v>30</v>
      </c>
      <c r="AA156">
        <f>X156+Y156</f>
        <v>160</v>
      </c>
    </row>
    <row r="157" spans="1:27" ht="14.4" x14ac:dyDescent="0.3">
      <c r="A157" s="3" t="s">
        <v>342</v>
      </c>
      <c r="B157" s="3" t="s">
        <v>33</v>
      </c>
      <c r="C157" s="11" t="s">
        <v>343</v>
      </c>
      <c r="D157" s="3" t="s">
        <v>35</v>
      </c>
      <c r="E157" s="21" t="s">
        <v>36</v>
      </c>
      <c r="F157" s="14">
        <v>1762</v>
      </c>
      <c r="G157" s="14">
        <v>405</v>
      </c>
      <c r="H157" s="14">
        <v>423</v>
      </c>
      <c r="I157" s="14">
        <v>22906</v>
      </c>
      <c r="J157" s="14">
        <v>21925</v>
      </c>
      <c r="K157" s="14">
        <v>25</v>
      </c>
      <c r="L157" s="4" t="s">
        <v>30</v>
      </c>
      <c r="M157" s="5" t="s">
        <v>19</v>
      </c>
      <c r="N157" s="17" t="s">
        <v>30</v>
      </c>
      <c r="Q157" s="25">
        <f>(F157+G157+H157)/I157</f>
        <v>0.11307081114118571</v>
      </c>
      <c r="R157" s="15">
        <f t="shared" si="2"/>
        <v>2590</v>
      </c>
      <c r="T157">
        <v>142</v>
      </c>
      <c r="U157" s="9" t="s">
        <v>30</v>
      </c>
      <c r="V157">
        <f>RANK(T157, T:T)</f>
        <v>183</v>
      </c>
      <c r="W157"/>
      <c r="X157">
        <v>4929</v>
      </c>
      <c r="Y157">
        <v>452</v>
      </c>
      <c r="Z157" s="9" t="s">
        <v>37</v>
      </c>
      <c r="AA157">
        <f>X157+Y157</f>
        <v>5381</v>
      </c>
    </row>
    <row r="158" spans="1:27" ht="14.4" x14ac:dyDescent="0.3">
      <c r="A158" s="3" t="s">
        <v>344</v>
      </c>
      <c r="B158" s="3" t="s">
        <v>43</v>
      </c>
      <c r="C158" s="11" t="s">
        <v>129</v>
      </c>
      <c r="D158" s="3" t="s">
        <v>35</v>
      </c>
      <c r="E158" s="21" t="s">
        <v>71</v>
      </c>
      <c r="F158" s="14">
        <v>2120</v>
      </c>
      <c r="G158" s="14">
        <v>158</v>
      </c>
      <c r="H158" s="14">
        <v>488</v>
      </c>
      <c r="I158" s="14">
        <v>12720</v>
      </c>
      <c r="J158" s="14">
        <v>12085</v>
      </c>
      <c r="K158" s="14">
        <v>17</v>
      </c>
      <c r="L158" s="4" t="s">
        <v>62</v>
      </c>
      <c r="M158" s="5" t="s">
        <v>25</v>
      </c>
      <c r="N158" s="17" t="s">
        <v>62</v>
      </c>
      <c r="Q158" s="25">
        <f>(F158+G158+H158)/I158</f>
        <v>0.21745283018867925</v>
      </c>
      <c r="R158" s="15">
        <f t="shared" si="2"/>
        <v>2766</v>
      </c>
      <c r="T158">
        <v>200</v>
      </c>
      <c r="U158" s="9" t="s">
        <v>37</v>
      </c>
      <c r="V158">
        <f>RANK(T158, T:T)</f>
        <v>117</v>
      </c>
      <c r="W158"/>
      <c r="X158">
        <v>1878</v>
      </c>
      <c r="Y158">
        <v>179</v>
      </c>
      <c r="Z158" s="9" t="s">
        <v>30</v>
      </c>
      <c r="AA158">
        <f>X158+Y158</f>
        <v>2057</v>
      </c>
    </row>
    <row r="159" spans="1:27" ht="14.4" x14ac:dyDescent="0.3">
      <c r="A159" s="3" t="s">
        <v>345</v>
      </c>
      <c r="B159" s="3" t="s">
        <v>14</v>
      </c>
      <c r="C159" s="11" t="s">
        <v>346</v>
      </c>
      <c r="D159" s="3" t="s">
        <v>74</v>
      </c>
      <c r="E159" s="21" t="s">
        <v>145</v>
      </c>
      <c r="F159" s="14">
        <v>1082</v>
      </c>
      <c r="G159" s="14">
        <v>209</v>
      </c>
      <c r="H159" s="14">
        <v>484</v>
      </c>
      <c r="I159" s="14">
        <v>19476</v>
      </c>
      <c r="J159" s="14">
        <v>18654</v>
      </c>
      <c r="K159" s="14">
        <v>20</v>
      </c>
      <c r="L159" s="4" t="s">
        <v>30</v>
      </c>
      <c r="M159" s="5"/>
      <c r="N159" s="17" t="s">
        <v>30</v>
      </c>
      <c r="Q159" s="25">
        <f>(F159+G159+H159)/I159</f>
        <v>9.1137810638734856E-2</v>
      </c>
      <c r="R159" s="15">
        <f t="shared" si="2"/>
        <v>1775</v>
      </c>
      <c r="T159">
        <v>200</v>
      </c>
      <c r="U159" s="9" t="s">
        <v>593</v>
      </c>
      <c r="V159">
        <f>RANK(T159, T:T)</f>
        <v>117</v>
      </c>
      <c r="W159"/>
      <c r="X159">
        <v>3065</v>
      </c>
      <c r="Y159">
        <v>142</v>
      </c>
      <c r="Z159" s="9" t="s">
        <v>37</v>
      </c>
      <c r="AA159">
        <f>X159+Y159</f>
        <v>3207</v>
      </c>
    </row>
    <row r="160" spans="1:27" ht="14.4" x14ac:dyDescent="0.3">
      <c r="A160" s="3" t="s">
        <v>347</v>
      </c>
      <c r="B160" s="3" t="s">
        <v>14</v>
      </c>
      <c r="C160" s="11" t="s">
        <v>348</v>
      </c>
      <c r="D160" s="3" t="s">
        <v>22</v>
      </c>
      <c r="E160" s="21" t="s">
        <v>23</v>
      </c>
      <c r="F160" s="14">
        <v>4671</v>
      </c>
      <c r="G160" s="14">
        <v>876</v>
      </c>
      <c r="H160" s="14">
        <v>366</v>
      </c>
      <c r="I160" s="14">
        <v>51381</v>
      </c>
      <c r="J160" s="14">
        <v>50565</v>
      </c>
      <c r="K160" s="14">
        <v>245</v>
      </c>
      <c r="L160" s="4" t="s">
        <v>30</v>
      </c>
      <c r="M160" s="5" t="s">
        <v>38</v>
      </c>
      <c r="N160" s="17" t="s">
        <v>30</v>
      </c>
      <c r="Q160" s="25">
        <f>(F160+G160+H160)/I160</f>
        <v>0.11508145034156594</v>
      </c>
      <c r="R160" s="15">
        <f t="shared" si="2"/>
        <v>5913</v>
      </c>
      <c r="T160">
        <v>143</v>
      </c>
      <c r="U160" s="9" t="s">
        <v>30</v>
      </c>
      <c r="V160">
        <f>RANK(T160, T:T)</f>
        <v>181</v>
      </c>
      <c r="W160"/>
      <c r="X160">
        <v>3065</v>
      </c>
      <c r="Y160">
        <v>142</v>
      </c>
      <c r="Z160" s="9" t="s">
        <v>593</v>
      </c>
      <c r="AA160">
        <f>X160+Y160</f>
        <v>3207</v>
      </c>
    </row>
    <row r="161" spans="1:27" ht="14.4" x14ac:dyDescent="0.3">
      <c r="A161" s="3" t="s">
        <v>349</v>
      </c>
      <c r="B161" s="3" t="s">
        <v>43</v>
      </c>
      <c r="C161" s="11" t="s">
        <v>350</v>
      </c>
      <c r="D161" s="3" t="s">
        <v>35</v>
      </c>
      <c r="E161" s="21" t="s">
        <v>71</v>
      </c>
      <c r="F161" s="14">
        <v>3430</v>
      </c>
      <c r="G161" s="14">
        <v>566</v>
      </c>
      <c r="H161" s="14">
        <v>164</v>
      </c>
      <c r="I161" s="14">
        <v>48020</v>
      </c>
      <c r="J161" s="14">
        <v>47305</v>
      </c>
      <c r="K161" s="14">
        <v>120</v>
      </c>
      <c r="L161" s="4" t="s">
        <v>62</v>
      </c>
      <c r="M161" s="5"/>
      <c r="N161" s="17" t="s">
        <v>62</v>
      </c>
      <c r="Q161" s="25">
        <f>(F161+G161+H161)/I161</f>
        <v>8.6630570595585168E-2</v>
      </c>
      <c r="R161" s="15">
        <f t="shared" si="2"/>
        <v>4160</v>
      </c>
      <c r="T161">
        <v>176</v>
      </c>
      <c r="U161" s="9" t="s">
        <v>37</v>
      </c>
      <c r="V161">
        <f>RANK(T161, T:T)</f>
        <v>146</v>
      </c>
      <c r="W161"/>
      <c r="X161">
        <v>3256</v>
      </c>
      <c r="Y161">
        <v>266</v>
      </c>
      <c r="Z161" s="9" t="s">
        <v>30</v>
      </c>
      <c r="AA161">
        <f>X161+Y161</f>
        <v>3522</v>
      </c>
    </row>
    <row r="162" spans="1:27" ht="14.4" x14ac:dyDescent="0.3">
      <c r="A162" s="3" t="s">
        <v>351</v>
      </c>
      <c r="B162" s="3" t="s">
        <v>33</v>
      </c>
      <c r="C162" s="11" t="s">
        <v>352</v>
      </c>
      <c r="D162" s="3" t="s">
        <v>52</v>
      </c>
      <c r="E162" s="21" t="s">
        <v>215</v>
      </c>
      <c r="F162" s="14">
        <v>4501</v>
      </c>
      <c r="G162" s="14">
        <v>375</v>
      </c>
      <c r="H162" s="14">
        <v>323</v>
      </c>
      <c r="I162" s="14">
        <v>22505</v>
      </c>
      <c r="J162" s="14">
        <v>21836</v>
      </c>
      <c r="K162" s="14">
        <v>132</v>
      </c>
      <c r="L162" s="4" t="s">
        <v>30</v>
      </c>
      <c r="M162" s="5" t="s">
        <v>25</v>
      </c>
      <c r="N162" s="17" t="s">
        <v>30</v>
      </c>
      <c r="Q162" s="25">
        <f>(F162+G162+H162)/I162</f>
        <v>0.23101532992668297</v>
      </c>
      <c r="R162" s="15">
        <f t="shared" si="2"/>
        <v>5199</v>
      </c>
      <c r="T162">
        <v>76</v>
      </c>
      <c r="U162" s="9" t="s">
        <v>37</v>
      </c>
      <c r="V162">
        <f>RANK(T162, T:T)</f>
        <v>252</v>
      </c>
      <c r="W162"/>
      <c r="X162">
        <v>4133</v>
      </c>
      <c r="Y162">
        <v>327</v>
      </c>
      <c r="Z162" s="9" t="s">
        <v>37</v>
      </c>
      <c r="AA162">
        <f>X162+Y162</f>
        <v>4460</v>
      </c>
    </row>
    <row r="163" spans="1:27" ht="14.4" x14ac:dyDescent="0.3">
      <c r="A163" s="3" t="s">
        <v>353</v>
      </c>
      <c r="B163" s="3" t="s">
        <v>27</v>
      </c>
      <c r="C163" s="11" t="s">
        <v>92</v>
      </c>
      <c r="D163" s="3" t="s">
        <v>22</v>
      </c>
      <c r="E163" s="21" t="s">
        <v>104</v>
      </c>
      <c r="F163" s="14">
        <v>4934</v>
      </c>
      <c r="G163" s="14">
        <v>971</v>
      </c>
      <c r="H163" s="14">
        <v>156</v>
      </c>
      <c r="I163" s="14">
        <v>39472</v>
      </c>
      <c r="J163" s="14">
        <v>39025</v>
      </c>
      <c r="K163" s="14">
        <v>169</v>
      </c>
      <c r="L163" s="4" t="s">
        <v>95</v>
      </c>
      <c r="M163" s="5" t="s">
        <v>38</v>
      </c>
      <c r="N163" s="17" t="s">
        <v>30</v>
      </c>
      <c r="O163" s="17" t="s">
        <v>593</v>
      </c>
      <c r="Q163" s="25">
        <f>(F163+G163+H163)/I163</f>
        <v>0.15355188488042157</v>
      </c>
      <c r="R163" s="15">
        <f t="shared" si="2"/>
        <v>6061</v>
      </c>
      <c r="T163">
        <v>290</v>
      </c>
      <c r="U163" s="9" t="s">
        <v>30</v>
      </c>
      <c r="V163">
        <f>RANK(T163, T:T)</f>
        <v>9</v>
      </c>
      <c r="W163"/>
      <c r="X163">
        <v>1702</v>
      </c>
      <c r="Y163">
        <v>179</v>
      </c>
      <c r="Z163" s="9" t="s">
        <v>37</v>
      </c>
      <c r="AA163">
        <f>X163+Y163</f>
        <v>1881</v>
      </c>
    </row>
    <row r="164" spans="1:27" ht="14.4" x14ac:dyDescent="0.3">
      <c r="A164" s="3" t="s">
        <v>354</v>
      </c>
      <c r="B164" s="3" t="s">
        <v>14</v>
      </c>
      <c r="C164" s="11" t="s">
        <v>237</v>
      </c>
      <c r="D164" s="3" t="s">
        <v>22</v>
      </c>
      <c r="E164" s="21" t="s">
        <v>23</v>
      </c>
      <c r="F164" s="14">
        <v>3239</v>
      </c>
      <c r="G164" s="14">
        <v>43</v>
      </c>
      <c r="H164" s="14">
        <v>211</v>
      </c>
      <c r="I164" s="14">
        <v>22673</v>
      </c>
      <c r="J164" s="14">
        <v>22171</v>
      </c>
      <c r="K164" s="14">
        <v>230</v>
      </c>
      <c r="L164" s="4" t="s">
        <v>30</v>
      </c>
      <c r="M164" s="5" t="s">
        <v>25</v>
      </c>
      <c r="N164" s="17" t="s">
        <v>30</v>
      </c>
      <c r="Q164" s="25">
        <f>(F164+G164+H164)/I164</f>
        <v>0.15405989502933004</v>
      </c>
      <c r="R164" s="15">
        <f t="shared" si="2"/>
        <v>3493</v>
      </c>
      <c r="T164">
        <v>122</v>
      </c>
      <c r="U164" s="9" t="s">
        <v>37</v>
      </c>
      <c r="V164">
        <f>RANK(T164, T:T)</f>
        <v>205</v>
      </c>
      <c r="W164"/>
      <c r="X164">
        <v>4295</v>
      </c>
      <c r="Y164">
        <v>325</v>
      </c>
      <c r="Z164" s="9" t="s">
        <v>30</v>
      </c>
      <c r="AA164">
        <f>X164+Y164</f>
        <v>4620</v>
      </c>
    </row>
    <row r="165" spans="1:27" ht="14.4" x14ac:dyDescent="0.3">
      <c r="A165" s="3" t="s">
        <v>355</v>
      </c>
      <c r="B165" s="3" t="s">
        <v>14</v>
      </c>
      <c r="C165" s="11" t="s">
        <v>70</v>
      </c>
      <c r="D165" s="3" t="s">
        <v>16</v>
      </c>
      <c r="E165" s="21" t="s">
        <v>17</v>
      </c>
      <c r="F165" s="14">
        <v>1076</v>
      </c>
      <c r="G165" s="14">
        <v>313</v>
      </c>
      <c r="H165" s="14">
        <v>306</v>
      </c>
      <c r="I165" s="14">
        <v>11836</v>
      </c>
      <c r="J165" s="14">
        <v>11596</v>
      </c>
      <c r="K165" s="14">
        <v>104</v>
      </c>
      <c r="L165" s="4" t="s">
        <v>62</v>
      </c>
      <c r="M165" s="5" t="s">
        <v>19</v>
      </c>
      <c r="N165" s="17" t="s">
        <v>62</v>
      </c>
      <c r="Q165" s="25">
        <f>(F165+G165+H165)/I165</f>
        <v>0.14320716458262928</v>
      </c>
      <c r="R165" s="15">
        <f t="shared" si="2"/>
        <v>1695</v>
      </c>
      <c r="T165">
        <v>47</v>
      </c>
      <c r="U165" s="9" t="s">
        <v>37</v>
      </c>
      <c r="V165">
        <f>RANK(T165, T:T)</f>
        <v>280</v>
      </c>
      <c r="W165"/>
      <c r="X165">
        <v>3559</v>
      </c>
      <c r="Y165">
        <v>289</v>
      </c>
      <c r="Z165" s="9" t="s">
        <v>37</v>
      </c>
      <c r="AA165">
        <f>X165+Y165</f>
        <v>3848</v>
      </c>
    </row>
    <row r="166" spans="1:27" ht="14.4" x14ac:dyDescent="0.3">
      <c r="A166" s="3" t="s">
        <v>356</v>
      </c>
      <c r="B166" s="3" t="s">
        <v>33</v>
      </c>
      <c r="C166" s="11" t="s">
        <v>305</v>
      </c>
      <c r="D166" s="3" t="s">
        <v>22</v>
      </c>
      <c r="E166" s="21" t="s">
        <v>113</v>
      </c>
      <c r="F166" s="14">
        <v>4771</v>
      </c>
      <c r="G166" s="14">
        <v>818</v>
      </c>
      <c r="H166" s="14">
        <v>56</v>
      </c>
      <c r="I166" s="14">
        <v>57252</v>
      </c>
      <c r="J166" s="14">
        <v>56378</v>
      </c>
      <c r="K166" s="14">
        <v>150</v>
      </c>
      <c r="L166" s="4" t="s">
        <v>62</v>
      </c>
      <c r="M166" s="5"/>
      <c r="N166" s="17" t="s">
        <v>62</v>
      </c>
      <c r="Q166" s="25">
        <f>(F166+G166+H166)/I166</f>
        <v>9.859917557465242E-2</v>
      </c>
      <c r="R166" s="15">
        <f t="shared" si="2"/>
        <v>5645</v>
      </c>
      <c r="T166">
        <v>212</v>
      </c>
      <c r="U166" s="9" t="s">
        <v>30</v>
      </c>
      <c r="V166">
        <f>RANK(T166, T:T)</f>
        <v>101</v>
      </c>
      <c r="W166"/>
      <c r="X166">
        <v>4804</v>
      </c>
      <c r="Y166">
        <v>270</v>
      </c>
      <c r="Z166" s="9" t="s">
        <v>37</v>
      </c>
      <c r="AA166">
        <f>X166+Y166</f>
        <v>5074</v>
      </c>
    </row>
    <row r="167" spans="1:27" ht="14.4" x14ac:dyDescent="0.3">
      <c r="A167" s="3" t="s">
        <v>357</v>
      </c>
      <c r="B167" s="3" t="s">
        <v>43</v>
      </c>
      <c r="C167" s="11" t="s">
        <v>358</v>
      </c>
      <c r="D167" s="3" t="s">
        <v>22</v>
      </c>
      <c r="E167" s="21" t="s">
        <v>56</v>
      </c>
      <c r="F167" s="14">
        <v>2418</v>
      </c>
      <c r="G167" s="14">
        <v>754</v>
      </c>
      <c r="H167" s="14">
        <v>54</v>
      </c>
      <c r="I167" s="14">
        <v>43524</v>
      </c>
      <c r="J167" s="14">
        <v>42743</v>
      </c>
      <c r="K167" s="14">
        <v>182</v>
      </c>
      <c r="L167" s="4" t="s">
        <v>37</v>
      </c>
      <c r="M167" s="5" t="s">
        <v>19</v>
      </c>
      <c r="N167" s="17" t="s">
        <v>37</v>
      </c>
      <c r="Q167" s="25">
        <f>(F167+G167+H167)/I167</f>
        <v>7.412002573292896E-2</v>
      </c>
      <c r="R167" s="15">
        <f t="shared" si="2"/>
        <v>3226</v>
      </c>
      <c r="T167">
        <v>64</v>
      </c>
      <c r="U167" s="9" t="s">
        <v>62</v>
      </c>
      <c r="V167">
        <f>RANK(T167, T:T)</f>
        <v>261</v>
      </c>
      <c r="W167"/>
      <c r="X167">
        <v>754</v>
      </c>
      <c r="Y167">
        <v>257</v>
      </c>
      <c r="Z167" s="9" t="s">
        <v>30</v>
      </c>
      <c r="AA167">
        <f>X167+Y167</f>
        <v>1011</v>
      </c>
    </row>
    <row r="168" spans="1:27" ht="14.4" x14ac:dyDescent="0.3">
      <c r="A168" s="3" t="s">
        <v>359</v>
      </c>
      <c r="B168" s="3" t="s">
        <v>27</v>
      </c>
      <c r="C168" s="11" t="s">
        <v>360</v>
      </c>
      <c r="D168" s="3" t="s">
        <v>74</v>
      </c>
      <c r="E168" s="21" t="s">
        <v>219</v>
      </c>
      <c r="F168" s="14">
        <v>3809</v>
      </c>
      <c r="G168" s="14">
        <v>273</v>
      </c>
      <c r="H168" s="14">
        <v>200</v>
      </c>
      <c r="I168" s="14">
        <v>34281</v>
      </c>
      <c r="J168" s="14">
        <v>33534</v>
      </c>
      <c r="K168" s="14">
        <v>83</v>
      </c>
      <c r="L168" s="4" t="s">
        <v>37</v>
      </c>
      <c r="M168" s="5" t="s">
        <v>19</v>
      </c>
      <c r="N168" s="17" t="s">
        <v>37</v>
      </c>
      <c r="Q168" s="25">
        <f>(F168+G168+H168)/I168</f>
        <v>0.12490884163239112</v>
      </c>
      <c r="R168" s="15">
        <f t="shared" si="2"/>
        <v>4282</v>
      </c>
      <c r="T168">
        <v>143</v>
      </c>
      <c r="U168" s="9" t="s">
        <v>62</v>
      </c>
      <c r="V168">
        <f>RANK(T168, T:T)</f>
        <v>181</v>
      </c>
      <c r="W168"/>
      <c r="X168">
        <v>985</v>
      </c>
      <c r="Y168">
        <v>287</v>
      </c>
      <c r="Z168" s="9" t="s">
        <v>62</v>
      </c>
      <c r="AA168">
        <f>X168+Y168</f>
        <v>1272</v>
      </c>
    </row>
    <row r="169" spans="1:27" ht="14.4" x14ac:dyDescent="0.3">
      <c r="A169" s="3" t="s">
        <v>361</v>
      </c>
      <c r="B169" s="3" t="s">
        <v>14</v>
      </c>
      <c r="C169" s="11" t="s">
        <v>362</v>
      </c>
      <c r="D169" s="3" t="s">
        <v>22</v>
      </c>
      <c r="E169" s="21" t="s">
        <v>23</v>
      </c>
      <c r="F169" s="14">
        <v>3577</v>
      </c>
      <c r="G169" s="14">
        <v>596</v>
      </c>
      <c r="H169" s="14">
        <v>493</v>
      </c>
      <c r="I169" s="14">
        <v>67963</v>
      </c>
      <c r="J169" s="14">
        <v>67839</v>
      </c>
      <c r="K169" s="14">
        <v>53</v>
      </c>
      <c r="L169" s="4" t="s">
        <v>30</v>
      </c>
      <c r="M169" s="5" t="s">
        <v>31</v>
      </c>
      <c r="N169" s="17" t="s">
        <v>30</v>
      </c>
      <c r="Q169" s="25">
        <f>(F169+G169+H169)/I169</f>
        <v>6.8655003457763777E-2</v>
      </c>
      <c r="R169" s="15">
        <f t="shared" si="2"/>
        <v>4666</v>
      </c>
      <c r="T169">
        <v>240</v>
      </c>
      <c r="U169" s="9" t="s">
        <v>62</v>
      </c>
      <c r="V169">
        <f>RANK(T169, T:T)</f>
        <v>60</v>
      </c>
      <c r="W169"/>
      <c r="X169">
        <v>2283</v>
      </c>
      <c r="Y169">
        <v>130</v>
      </c>
      <c r="Z169" s="9" t="s">
        <v>62</v>
      </c>
      <c r="AA169">
        <f>X169+Y169</f>
        <v>2413</v>
      </c>
    </row>
    <row r="170" spans="1:27" ht="14.4" x14ac:dyDescent="0.3">
      <c r="A170" s="3" t="s">
        <v>363</v>
      </c>
      <c r="B170" s="3" t="s">
        <v>27</v>
      </c>
      <c r="C170" s="11" t="s">
        <v>364</v>
      </c>
      <c r="D170" s="3" t="s">
        <v>74</v>
      </c>
      <c r="E170" s="21" t="s">
        <v>219</v>
      </c>
      <c r="F170" s="14">
        <v>1018</v>
      </c>
      <c r="G170" s="14">
        <v>447</v>
      </c>
      <c r="H170" s="14">
        <v>332</v>
      </c>
      <c r="I170" s="14">
        <v>18324</v>
      </c>
      <c r="J170" s="14">
        <v>18164</v>
      </c>
      <c r="K170" s="14">
        <v>38</v>
      </c>
      <c r="L170" s="4" t="s">
        <v>62</v>
      </c>
      <c r="M170" s="5" t="s">
        <v>25</v>
      </c>
      <c r="N170" s="17" t="s">
        <v>62</v>
      </c>
      <c r="Q170" s="25">
        <f>(F170+G170+H170)/I170</f>
        <v>9.8068107400130972E-2</v>
      </c>
      <c r="R170" s="15">
        <f t="shared" si="2"/>
        <v>1797</v>
      </c>
      <c r="T170">
        <v>187</v>
      </c>
      <c r="U170" s="9" t="s">
        <v>62</v>
      </c>
      <c r="V170">
        <f>RANK(T170, T:T)</f>
        <v>137</v>
      </c>
      <c r="W170"/>
      <c r="X170">
        <v>3352</v>
      </c>
      <c r="Y170">
        <v>482</v>
      </c>
      <c r="Z170" s="9" t="s">
        <v>62</v>
      </c>
      <c r="AA170">
        <f>X170+Y170</f>
        <v>3834</v>
      </c>
    </row>
    <row r="171" spans="1:27" ht="14.4" x14ac:dyDescent="0.3">
      <c r="A171" s="3" t="s">
        <v>365</v>
      </c>
      <c r="B171" s="3" t="s">
        <v>43</v>
      </c>
      <c r="C171" s="11" t="s">
        <v>366</v>
      </c>
      <c r="D171" s="3" t="s">
        <v>45</v>
      </c>
      <c r="E171" s="21" t="s">
        <v>46</v>
      </c>
      <c r="F171" s="14">
        <v>3073</v>
      </c>
      <c r="G171" s="14">
        <v>553</v>
      </c>
      <c r="H171" s="14">
        <v>174</v>
      </c>
      <c r="I171" s="14">
        <v>52241</v>
      </c>
      <c r="J171" s="14">
        <v>51605</v>
      </c>
      <c r="K171" s="14">
        <v>246</v>
      </c>
      <c r="L171" s="4" t="s">
        <v>37</v>
      </c>
      <c r="M171" s="5" t="s">
        <v>31</v>
      </c>
      <c r="N171" s="17" t="s">
        <v>37</v>
      </c>
      <c r="Q171" s="25">
        <f>(F171+G171+H171)/I171</f>
        <v>7.2739802071170159E-2</v>
      </c>
      <c r="R171" s="15">
        <f t="shared" si="2"/>
        <v>3800</v>
      </c>
      <c r="T171">
        <v>25</v>
      </c>
      <c r="U171" s="9" t="s">
        <v>30</v>
      </c>
      <c r="V171">
        <f>RANK(T171, T:T)</f>
        <v>304</v>
      </c>
      <c r="W171"/>
      <c r="X171">
        <v>4775</v>
      </c>
      <c r="Y171">
        <v>206</v>
      </c>
      <c r="Z171" s="9" t="s">
        <v>62</v>
      </c>
      <c r="AA171">
        <f>X171+Y171</f>
        <v>4981</v>
      </c>
    </row>
    <row r="172" spans="1:27" ht="14.4" x14ac:dyDescent="0.3">
      <c r="A172" s="3" t="s">
        <v>367</v>
      </c>
      <c r="B172" s="3" t="s">
        <v>14</v>
      </c>
      <c r="C172" s="11" t="s">
        <v>368</v>
      </c>
      <c r="D172" s="3" t="s">
        <v>74</v>
      </c>
      <c r="E172" s="21" t="s">
        <v>145</v>
      </c>
      <c r="F172" s="14">
        <v>1330</v>
      </c>
      <c r="G172" s="14">
        <v>925</v>
      </c>
      <c r="H172" s="14">
        <v>35</v>
      </c>
      <c r="I172" s="14">
        <v>15960</v>
      </c>
      <c r="J172" s="14">
        <v>15379</v>
      </c>
      <c r="K172" s="14">
        <v>229</v>
      </c>
      <c r="L172" s="4" t="s">
        <v>62</v>
      </c>
      <c r="M172" s="5" t="s">
        <v>31</v>
      </c>
      <c r="N172" s="17" t="s">
        <v>62</v>
      </c>
      <c r="Q172" s="25">
        <f>(F172+G172+H172)/I172</f>
        <v>0.14348370927318296</v>
      </c>
      <c r="R172" s="15">
        <f t="shared" si="2"/>
        <v>2290</v>
      </c>
      <c r="T172">
        <v>17</v>
      </c>
      <c r="U172" s="9" t="s">
        <v>62</v>
      </c>
      <c r="V172">
        <f>RANK(T172, T:T)</f>
        <v>322</v>
      </c>
      <c r="W172"/>
      <c r="X172">
        <v>1762</v>
      </c>
      <c r="Y172">
        <v>423</v>
      </c>
      <c r="Z172" s="9" t="s">
        <v>30</v>
      </c>
      <c r="AA172">
        <f>X172+Y172</f>
        <v>2185</v>
      </c>
    </row>
    <row r="173" spans="1:27" ht="14.4" x14ac:dyDescent="0.3">
      <c r="A173" s="3" t="s">
        <v>369</v>
      </c>
      <c r="B173" s="3" t="s">
        <v>43</v>
      </c>
      <c r="C173" s="11" t="s">
        <v>172</v>
      </c>
      <c r="D173" s="3" t="s">
        <v>22</v>
      </c>
      <c r="E173" s="21" t="s">
        <v>56</v>
      </c>
      <c r="F173" s="14">
        <v>3828</v>
      </c>
      <c r="G173" s="14">
        <v>148</v>
      </c>
      <c r="H173" s="14">
        <v>253</v>
      </c>
      <c r="I173" s="14">
        <v>30624</v>
      </c>
      <c r="J173" s="14">
        <v>30229</v>
      </c>
      <c r="K173" s="14">
        <v>235</v>
      </c>
      <c r="L173" s="4" t="s">
        <v>37</v>
      </c>
      <c r="M173" s="5"/>
      <c r="N173" s="17" t="s">
        <v>37</v>
      </c>
      <c r="Q173" s="25">
        <f>(F173+G173+H173)/I173</f>
        <v>0.13809430512016718</v>
      </c>
      <c r="R173" s="15">
        <f t="shared" si="2"/>
        <v>4229</v>
      </c>
      <c r="T173">
        <v>20</v>
      </c>
      <c r="U173" s="9" t="s">
        <v>30</v>
      </c>
      <c r="V173">
        <f>RANK(T173, T:T)</f>
        <v>316</v>
      </c>
      <c r="W173"/>
      <c r="X173">
        <v>2120</v>
      </c>
      <c r="Y173">
        <v>488</v>
      </c>
      <c r="Z173" s="9" t="s">
        <v>62</v>
      </c>
      <c r="AA173">
        <f>X173+Y173</f>
        <v>2608</v>
      </c>
    </row>
    <row r="174" spans="1:27" ht="14.4" x14ac:dyDescent="0.3">
      <c r="A174" s="3" t="s">
        <v>370</v>
      </c>
      <c r="B174" s="3" t="s">
        <v>33</v>
      </c>
      <c r="C174" s="11" t="s">
        <v>371</v>
      </c>
      <c r="D174" s="3" t="s">
        <v>16</v>
      </c>
      <c r="E174" s="21" t="s">
        <v>82</v>
      </c>
      <c r="F174" s="14">
        <v>142</v>
      </c>
      <c r="G174" s="14">
        <v>784</v>
      </c>
      <c r="H174" s="14">
        <v>183</v>
      </c>
      <c r="I174" s="14">
        <v>1704</v>
      </c>
      <c r="J174" s="14">
        <v>995</v>
      </c>
      <c r="K174" s="14">
        <v>154</v>
      </c>
      <c r="L174" s="4" t="s">
        <v>62</v>
      </c>
      <c r="M174" s="5" t="s">
        <v>38</v>
      </c>
      <c r="N174" s="17" t="s">
        <v>62</v>
      </c>
      <c r="Q174" s="25">
        <f>(F174+G174+H174)/I174</f>
        <v>0.6508215962441315</v>
      </c>
      <c r="R174" s="15">
        <f t="shared" si="2"/>
        <v>1109</v>
      </c>
      <c r="T174">
        <v>245</v>
      </c>
      <c r="U174" s="9" t="s">
        <v>30</v>
      </c>
      <c r="V174">
        <f>RANK(T174, T:T)</f>
        <v>52</v>
      </c>
      <c r="W174"/>
      <c r="X174">
        <v>1082</v>
      </c>
      <c r="Y174">
        <v>484</v>
      </c>
      <c r="Z174" s="9" t="s">
        <v>30</v>
      </c>
      <c r="AA174">
        <f>X174+Y174</f>
        <v>1566</v>
      </c>
    </row>
    <row r="175" spans="1:27" ht="14.4" x14ac:dyDescent="0.3">
      <c r="A175" s="3" t="s">
        <v>372</v>
      </c>
      <c r="B175" s="3" t="s">
        <v>43</v>
      </c>
      <c r="C175" s="11" t="s">
        <v>373</v>
      </c>
      <c r="D175" s="3" t="s">
        <v>74</v>
      </c>
      <c r="E175" s="21" t="s">
        <v>75</v>
      </c>
      <c r="F175" s="14">
        <v>3798</v>
      </c>
      <c r="G175" s="14">
        <v>31</v>
      </c>
      <c r="H175" s="14">
        <v>279</v>
      </c>
      <c r="I175" s="14">
        <v>75960</v>
      </c>
      <c r="J175" s="14">
        <v>75813</v>
      </c>
      <c r="K175" s="14">
        <v>266</v>
      </c>
      <c r="L175" s="4" t="s">
        <v>30</v>
      </c>
      <c r="M175" s="5" t="s">
        <v>19</v>
      </c>
      <c r="N175" s="17" t="s">
        <v>30</v>
      </c>
      <c r="Q175" s="25">
        <f>(F175+G175+H175)/I175</f>
        <v>5.4081095313322801E-2</v>
      </c>
      <c r="R175" s="15">
        <f t="shared" si="2"/>
        <v>4108</v>
      </c>
      <c r="T175">
        <v>120</v>
      </c>
      <c r="U175" s="9" t="s">
        <v>62</v>
      </c>
      <c r="V175">
        <f>RANK(T175, T:T)</f>
        <v>208</v>
      </c>
      <c r="W175"/>
      <c r="X175">
        <v>4671</v>
      </c>
      <c r="Y175">
        <v>366</v>
      </c>
      <c r="Z175" s="9" t="s">
        <v>30</v>
      </c>
      <c r="AA175">
        <f>X175+Y175</f>
        <v>5037</v>
      </c>
    </row>
    <row r="176" spans="1:27" ht="14.4" x14ac:dyDescent="0.3">
      <c r="A176" s="3" t="s">
        <v>374</v>
      </c>
      <c r="B176" s="3" t="s">
        <v>33</v>
      </c>
      <c r="C176" s="11" t="s">
        <v>375</v>
      </c>
      <c r="D176" s="3" t="s">
        <v>45</v>
      </c>
      <c r="E176" s="21" t="s">
        <v>88</v>
      </c>
      <c r="F176" s="14">
        <v>3099</v>
      </c>
      <c r="G176" s="14">
        <v>694</v>
      </c>
      <c r="H176" s="14">
        <v>171</v>
      </c>
      <c r="I176" s="14">
        <v>43386</v>
      </c>
      <c r="J176" s="14">
        <v>42921</v>
      </c>
      <c r="K176" s="14">
        <v>52</v>
      </c>
      <c r="L176" s="4" t="s">
        <v>30</v>
      </c>
      <c r="M176" s="5" t="s">
        <v>31</v>
      </c>
      <c r="N176" s="17" t="s">
        <v>30</v>
      </c>
      <c r="Q176" s="25">
        <f>(F176+G176+H176)/I176</f>
        <v>9.1365878393951966E-2</v>
      </c>
      <c r="R176" s="15">
        <f t="shared" si="2"/>
        <v>3964</v>
      </c>
      <c r="T176">
        <v>132</v>
      </c>
      <c r="U176" s="9" t="s">
        <v>30</v>
      </c>
      <c r="V176">
        <f>RANK(T176, T:T)</f>
        <v>192</v>
      </c>
      <c r="W176"/>
      <c r="X176">
        <v>3430</v>
      </c>
      <c r="Y176">
        <v>164</v>
      </c>
      <c r="Z176" s="9" t="s">
        <v>62</v>
      </c>
      <c r="AA176">
        <f>X176+Y176</f>
        <v>3594</v>
      </c>
    </row>
    <row r="177" spans="1:27" ht="14.4" x14ac:dyDescent="0.3">
      <c r="A177" s="3" t="s">
        <v>376</v>
      </c>
      <c r="B177" s="3" t="s">
        <v>33</v>
      </c>
      <c r="C177" s="11" t="s">
        <v>205</v>
      </c>
      <c r="D177" s="3" t="s">
        <v>74</v>
      </c>
      <c r="E177" s="21" t="s">
        <v>85</v>
      </c>
      <c r="F177" s="14">
        <v>129</v>
      </c>
      <c r="G177" s="14">
        <v>643</v>
      </c>
      <c r="H177" s="14">
        <v>136</v>
      </c>
      <c r="I177" s="14">
        <v>1290</v>
      </c>
      <c r="J177" s="14">
        <v>839</v>
      </c>
      <c r="K177" s="14">
        <v>238</v>
      </c>
      <c r="L177" s="4" t="s">
        <v>30</v>
      </c>
      <c r="M177" s="5" t="s">
        <v>38</v>
      </c>
      <c r="N177" s="17" t="s">
        <v>30</v>
      </c>
      <c r="Q177" s="25">
        <f>(F177+G177+H177)/I177</f>
        <v>0.70387596899224802</v>
      </c>
      <c r="R177" s="15">
        <f t="shared" si="2"/>
        <v>908</v>
      </c>
      <c r="T177">
        <v>169</v>
      </c>
      <c r="U177" s="9" t="s">
        <v>30</v>
      </c>
      <c r="V177">
        <f>RANK(T177, T:T)</f>
        <v>157</v>
      </c>
      <c r="W177"/>
      <c r="X177">
        <v>4501</v>
      </c>
      <c r="Y177">
        <v>323</v>
      </c>
      <c r="Z177" s="9" t="s">
        <v>30</v>
      </c>
      <c r="AA177">
        <f>X177+Y177</f>
        <v>4824</v>
      </c>
    </row>
    <row r="178" spans="1:27" ht="14.4" x14ac:dyDescent="0.3">
      <c r="A178" s="3" t="s">
        <v>377</v>
      </c>
      <c r="B178" s="3" t="s">
        <v>43</v>
      </c>
      <c r="C178" s="11" t="s">
        <v>313</v>
      </c>
      <c r="D178" s="3" t="s">
        <v>45</v>
      </c>
      <c r="E178" s="21" t="s">
        <v>46</v>
      </c>
      <c r="F178" s="14">
        <v>3796</v>
      </c>
      <c r="G178" s="14">
        <v>667</v>
      </c>
      <c r="H178" s="14">
        <v>395</v>
      </c>
      <c r="I178" s="14">
        <v>64532</v>
      </c>
      <c r="J178" s="14">
        <v>63550</v>
      </c>
      <c r="K178" s="14">
        <v>292</v>
      </c>
      <c r="L178" s="4" t="s">
        <v>30</v>
      </c>
      <c r="M178" s="5"/>
      <c r="N178" s="17" t="s">
        <v>30</v>
      </c>
      <c r="Q178" s="25">
        <f>(F178+G178+H178)/I178</f>
        <v>7.5280481001673588E-2</v>
      </c>
      <c r="R178" s="15">
        <f t="shared" si="2"/>
        <v>4858</v>
      </c>
      <c r="T178">
        <v>169</v>
      </c>
      <c r="U178" s="9" t="s">
        <v>593</v>
      </c>
      <c r="V178">
        <f>RANK(T178, T:T)</f>
        <v>157</v>
      </c>
      <c r="W178"/>
      <c r="X178">
        <v>4934</v>
      </c>
      <c r="Y178">
        <v>156</v>
      </c>
      <c r="Z178" s="9" t="s">
        <v>30</v>
      </c>
      <c r="AA178">
        <f>X178+Y178</f>
        <v>5090</v>
      </c>
    </row>
    <row r="179" spans="1:27" ht="14.4" x14ac:dyDescent="0.3">
      <c r="A179" s="3" t="s">
        <v>378</v>
      </c>
      <c r="B179" s="3" t="s">
        <v>27</v>
      </c>
      <c r="C179" s="11" t="s">
        <v>360</v>
      </c>
      <c r="D179" s="3" t="s">
        <v>22</v>
      </c>
      <c r="E179" s="21" t="s">
        <v>104</v>
      </c>
      <c r="F179" s="14">
        <v>3711</v>
      </c>
      <c r="G179" s="14">
        <v>352</v>
      </c>
      <c r="H179" s="14">
        <v>290</v>
      </c>
      <c r="I179" s="14">
        <v>48243</v>
      </c>
      <c r="J179" s="14">
        <v>47579</v>
      </c>
      <c r="K179" s="14">
        <v>11</v>
      </c>
      <c r="L179" s="4" t="s">
        <v>30</v>
      </c>
      <c r="M179" s="5" t="s">
        <v>19</v>
      </c>
      <c r="N179" s="17" t="s">
        <v>30</v>
      </c>
      <c r="Q179" s="25">
        <f>(F179+G179+H179)/I179</f>
        <v>9.023070704558174E-2</v>
      </c>
      <c r="R179" s="15">
        <f t="shared" si="2"/>
        <v>4353</v>
      </c>
      <c r="T179">
        <v>230</v>
      </c>
      <c r="U179" s="9" t="s">
        <v>30</v>
      </c>
      <c r="V179">
        <f>RANK(T179, T:T)</f>
        <v>79</v>
      </c>
      <c r="W179"/>
      <c r="X179">
        <v>4934</v>
      </c>
      <c r="Y179">
        <v>156</v>
      </c>
      <c r="Z179" s="9" t="s">
        <v>593</v>
      </c>
      <c r="AA179">
        <f>X179+Y179</f>
        <v>5090</v>
      </c>
    </row>
    <row r="180" spans="1:27" ht="14.4" x14ac:dyDescent="0.3">
      <c r="A180" s="3" t="s">
        <v>379</v>
      </c>
      <c r="B180" s="3" t="s">
        <v>27</v>
      </c>
      <c r="C180" s="11" t="s">
        <v>380</v>
      </c>
      <c r="D180" s="3" t="s">
        <v>52</v>
      </c>
      <c r="E180" s="21" t="s">
        <v>53</v>
      </c>
      <c r="F180" s="14">
        <v>606</v>
      </c>
      <c r="G180" s="14">
        <v>789</v>
      </c>
      <c r="H180" s="14">
        <v>470</v>
      </c>
      <c r="I180" s="14">
        <v>7878</v>
      </c>
      <c r="J180" s="14">
        <v>7389</v>
      </c>
      <c r="K180" s="14">
        <v>239</v>
      </c>
      <c r="L180" s="4" t="s">
        <v>37</v>
      </c>
      <c r="M180" s="5" t="s">
        <v>31</v>
      </c>
      <c r="N180" s="17" t="s">
        <v>37</v>
      </c>
      <c r="Q180" s="25">
        <f>(F180+G180+H180)/I180</f>
        <v>0.23673521198273673</v>
      </c>
      <c r="R180" s="15">
        <f t="shared" si="2"/>
        <v>1865</v>
      </c>
      <c r="T180">
        <v>104</v>
      </c>
      <c r="U180" s="9" t="s">
        <v>62</v>
      </c>
      <c r="V180">
        <f>RANK(T180, T:T)</f>
        <v>222</v>
      </c>
      <c r="W180"/>
      <c r="X180">
        <v>3239</v>
      </c>
      <c r="Y180">
        <v>211</v>
      </c>
      <c r="Z180" s="9" t="s">
        <v>30</v>
      </c>
      <c r="AA180">
        <f>X180+Y180</f>
        <v>3450</v>
      </c>
    </row>
    <row r="181" spans="1:27" ht="14.4" x14ac:dyDescent="0.3">
      <c r="A181" s="3" t="s">
        <v>381</v>
      </c>
      <c r="B181" s="3" t="s">
        <v>43</v>
      </c>
      <c r="C181" s="11" t="s">
        <v>115</v>
      </c>
      <c r="D181" s="3" t="s">
        <v>52</v>
      </c>
      <c r="E181" s="21" t="s">
        <v>59</v>
      </c>
      <c r="F181" s="14">
        <v>4689</v>
      </c>
      <c r="G181" s="14">
        <v>134</v>
      </c>
      <c r="H181" s="14">
        <v>403</v>
      </c>
      <c r="I181" s="14">
        <v>51579</v>
      </c>
      <c r="J181" s="14">
        <v>50924</v>
      </c>
      <c r="K181" s="14">
        <v>173</v>
      </c>
      <c r="L181" s="4" t="s">
        <v>30</v>
      </c>
      <c r="M181" s="5" t="s">
        <v>38</v>
      </c>
      <c r="N181" s="17" t="s">
        <v>30</v>
      </c>
      <c r="Q181" s="25">
        <f>(F181+G181+H181)/I181</f>
        <v>0.10132030477519921</v>
      </c>
      <c r="R181" s="15">
        <f t="shared" si="2"/>
        <v>5226</v>
      </c>
      <c r="T181">
        <v>150</v>
      </c>
      <c r="U181" s="9" t="s">
        <v>62</v>
      </c>
      <c r="V181">
        <f>RANK(T181, T:T)</f>
        <v>172</v>
      </c>
      <c r="W181"/>
      <c r="X181">
        <v>1076</v>
      </c>
      <c r="Y181">
        <v>306</v>
      </c>
      <c r="Z181" s="9" t="s">
        <v>62</v>
      </c>
      <c r="AA181">
        <f>X181+Y181</f>
        <v>1382</v>
      </c>
    </row>
    <row r="182" spans="1:27" ht="14.4" x14ac:dyDescent="0.3">
      <c r="A182" s="3" t="s">
        <v>382</v>
      </c>
      <c r="B182" s="3" t="s">
        <v>33</v>
      </c>
      <c r="C182" s="11" t="s">
        <v>383</v>
      </c>
      <c r="D182" s="3" t="s">
        <v>35</v>
      </c>
      <c r="E182" s="21" t="s">
        <v>36</v>
      </c>
      <c r="F182" s="14">
        <v>360</v>
      </c>
      <c r="G182" s="14">
        <v>590</v>
      </c>
      <c r="H182" s="14">
        <v>393</v>
      </c>
      <c r="I182" s="14">
        <v>4680</v>
      </c>
      <c r="J182" s="14">
        <v>4322</v>
      </c>
      <c r="K182" s="14">
        <v>208</v>
      </c>
      <c r="L182" s="4" t="s">
        <v>62</v>
      </c>
      <c r="M182" s="5" t="s">
        <v>25</v>
      </c>
      <c r="N182" s="17" t="s">
        <v>62</v>
      </c>
      <c r="Q182" s="25">
        <f>(F182+G182+H182)/I182</f>
        <v>0.28696581196581195</v>
      </c>
      <c r="R182" s="15">
        <f t="shared" si="2"/>
        <v>1343</v>
      </c>
      <c r="T182">
        <v>182</v>
      </c>
      <c r="U182" s="9" t="s">
        <v>37</v>
      </c>
      <c r="V182">
        <f>RANK(T182, T:T)</f>
        <v>141</v>
      </c>
      <c r="W182"/>
      <c r="X182">
        <v>4771</v>
      </c>
      <c r="Y182">
        <v>56</v>
      </c>
      <c r="Z182" s="9" t="s">
        <v>62</v>
      </c>
      <c r="AA182">
        <f>X182+Y182</f>
        <v>4827</v>
      </c>
    </row>
    <row r="183" spans="1:27" ht="14.4" x14ac:dyDescent="0.3">
      <c r="A183" s="3" t="s">
        <v>384</v>
      </c>
      <c r="B183" s="3" t="s">
        <v>14</v>
      </c>
      <c r="C183" s="11" t="s">
        <v>385</v>
      </c>
      <c r="D183" s="3" t="s">
        <v>52</v>
      </c>
      <c r="E183" s="21" t="s">
        <v>132</v>
      </c>
      <c r="F183" s="14">
        <v>3215</v>
      </c>
      <c r="G183" s="14">
        <v>960</v>
      </c>
      <c r="H183" s="14">
        <v>202</v>
      </c>
      <c r="I183" s="14">
        <v>32150</v>
      </c>
      <c r="J183" s="14">
        <v>31404</v>
      </c>
      <c r="K183" s="14">
        <v>251</v>
      </c>
      <c r="L183" s="4" t="s">
        <v>37</v>
      </c>
      <c r="M183" s="5" t="s">
        <v>19</v>
      </c>
      <c r="N183" s="17" t="s">
        <v>37</v>
      </c>
      <c r="Q183" s="25">
        <f>(F183+G183+H183)/I183</f>
        <v>0.13614307931570763</v>
      </c>
      <c r="R183" s="15">
        <f t="shared" si="2"/>
        <v>4377</v>
      </c>
      <c r="T183">
        <v>83</v>
      </c>
      <c r="U183" s="9" t="s">
        <v>37</v>
      </c>
      <c r="V183">
        <f>RANK(T183, T:T)</f>
        <v>248</v>
      </c>
      <c r="W183"/>
      <c r="X183">
        <v>2418</v>
      </c>
      <c r="Y183">
        <v>54</v>
      </c>
      <c r="Z183" s="9" t="s">
        <v>37</v>
      </c>
      <c r="AA183">
        <f>X183+Y183</f>
        <v>2472</v>
      </c>
    </row>
    <row r="184" spans="1:27" ht="14.4" x14ac:dyDescent="0.3">
      <c r="A184" s="3" t="s">
        <v>386</v>
      </c>
      <c r="B184" s="3" t="s">
        <v>33</v>
      </c>
      <c r="C184" s="11" t="s">
        <v>387</v>
      </c>
      <c r="D184" s="3" t="s">
        <v>45</v>
      </c>
      <c r="E184" s="21" t="s">
        <v>88</v>
      </c>
      <c r="F184" s="14">
        <v>4523</v>
      </c>
      <c r="G184" s="14">
        <v>61</v>
      </c>
      <c r="H184" s="14">
        <v>157</v>
      </c>
      <c r="I184" s="14">
        <v>49753</v>
      </c>
      <c r="J184" s="14">
        <v>49329</v>
      </c>
      <c r="K184" s="14">
        <v>71</v>
      </c>
      <c r="L184" s="4" t="s">
        <v>37</v>
      </c>
      <c r="M184" s="5"/>
      <c r="N184" s="17" t="s">
        <v>37</v>
      </c>
      <c r="Q184" s="25">
        <f>(F184+G184+H184)/I184</f>
        <v>9.5290736237010829E-2</v>
      </c>
      <c r="R184" s="15">
        <f t="shared" si="2"/>
        <v>4741</v>
      </c>
      <c r="T184">
        <v>53</v>
      </c>
      <c r="U184" s="9" t="s">
        <v>30</v>
      </c>
      <c r="V184">
        <f>RANK(T184, T:T)</f>
        <v>271</v>
      </c>
      <c r="W184"/>
      <c r="X184">
        <v>3809</v>
      </c>
      <c r="Y184">
        <v>200</v>
      </c>
      <c r="Z184" s="9" t="s">
        <v>37</v>
      </c>
      <c r="AA184">
        <f>X184+Y184</f>
        <v>4009</v>
      </c>
    </row>
    <row r="185" spans="1:27" ht="14.4" x14ac:dyDescent="0.3">
      <c r="A185" s="3" t="s">
        <v>388</v>
      </c>
      <c r="B185" s="3" t="s">
        <v>43</v>
      </c>
      <c r="C185" s="11" t="s">
        <v>346</v>
      </c>
      <c r="D185" s="3" t="s">
        <v>45</v>
      </c>
      <c r="E185" s="21" t="s">
        <v>46</v>
      </c>
      <c r="F185" s="14">
        <v>4292</v>
      </c>
      <c r="G185" s="14">
        <v>51</v>
      </c>
      <c r="H185" s="14">
        <v>392</v>
      </c>
      <c r="I185" s="14">
        <v>55796</v>
      </c>
      <c r="J185" s="14">
        <v>54826</v>
      </c>
      <c r="K185" s="14">
        <v>264</v>
      </c>
      <c r="L185" s="4" t="s">
        <v>37</v>
      </c>
      <c r="M185" s="5" t="s">
        <v>31</v>
      </c>
      <c r="N185" s="17" t="s">
        <v>37</v>
      </c>
      <c r="Q185" s="25">
        <f>(F185+G185+H185)/I185</f>
        <v>8.4862714173059003E-2</v>
      </c>
      <c r="R185" s="15">
        <f t="shared" si="2"/>
        <v>4735</v>
      </c>
      <c r="T185">
        <v>38</v>
      </c>
      <c r="U185" s="9" t="s">
        <v>62</v>
      </c>
      <c r="V185">
        <f>RANK(T185, T:T)</f>
        <v>293</v>
      </c>
      <c r="W185"/>
      <c r="X185">
        <v>3577</v>
      </c>
      <c r="Y185">
        <v>493</v>
      </c>
      <c r="Z185" s="9" t="s">
        <v>30</v>
      </c>
      <c r="AA185">
        <f>X185+Y185</f>
        <v>4070</v>
      </c>
    </row>
    <row r="186" spans="1:27" ht="14.4" x14ac:dyDescent="0.3">
      <c r="A186" s="3" t="s">
        <v>389</v>
      </c>
      <c r="B186" s="3" t="s">
        <v>14</v>
      </c>
      <c r="C186" s="11" t="s">
        <v>390</v>
      </c>
      <c r="D186" s="3" t="s">
        <v>16</v>
      </c>
      <c r="E186" s="21" t="s">
        <v>17</v>
      </c>
      <c r="F186" s="14">
        <v>1644</v>
      </c>
      <c r="G186" s="14">
        <v>546</v>
      </c>
      <c r="H186" s="14">
        <v>150</v>
      </c>
      <c r="I186" s="14">
        <v>27948</v>
      </c>
      <c r="J186" s="14">
        <v>27184</v>
      </c>
      <c r="K186" s="14">
        <v>300</v>
      </c>
      <c r="L186" s="4" t="s">
        <v>37</v>
      </c>
      <c r="M186" s="5" t="s">
        <v>31</v>
      </c>
      <c r="N186" s="17" t="s">
        <v>37</v>
      </c>
      <c r="Q186" s="25">
        <f>(F186+G186+H186)/I186</f>
        <v>8.3726921425504502E-2</v>
      </c>
      <c r="R186" s="15">
        <f t="shared" si="2"/>
        <v>2340</v>
      </c>
      <c r="T186">
        <v>246</v>
      </c>
      <c r="U186" s="9" t="s">
        <v>37</v>
      </c>
      <c r="V186">
        <f>RANK(T186, T:T)</f>
        <v>51</v>
      </c>
      <c r="W186"/>
      <c r="X186">
        <v>1018</v>
      </c>
      <c r="Y186">
        <v>332</v>
      </c>
      <c r="Z186" s="9" t="s">
        <v>62</v>
      </c>
      <c r="AA186">
        <f>X186+Y186</f>
        <v>1350</v>
      </c>
    </row>
    <row r="187" spans="1:27" ht="14.4" x14ac:dyDescent="0.3">
      <c r="A187" s="3" t="s">
        <v>391</v>
      </c>
      <c r="B187" s="3" t="s">
        <v>27</v>
      </c>
      <c r="C187" s="11" t="s">
        <v>226</v>
      </c>
      <c r="D187" s="3" t="s">
        <v>16</v>
      </c>
      <c r="E187" s="21" t="s">
        <v>29</v>
      </c>
      <c r="F187" s="14">
        <v>2728</v>
      </c>
      <c r="G187" s="14">
        <v>533</v>
      </c>
      <c r="H187" s="14">
        <v>215</v>
      </c>
      <c r="I187" s="14">
        <v>40920</v>
      </c>
      <c r="J187" s="14">
        <v>40816</v>
      </c>
      <c r="K187" s="14">
        <v>137</v>
      </c>
      <c r="L187" s="4" t="s">
        <v>62</v>
      </c>
      <c r="M187" s="5" t="s">
        <v>25</v>
      </c>
      <c r="N187" s="17" t="s">
        <v>62</v>
      </c>
      <c r="Q187" s="25">
        <f>(F187+G187+H187)/I187</f>
        <v>8.4946236559139784E-2</v>
      </c>
      <c r="R187" s="15">
        <f t="shared" si="2"/>
        <v>3476</v>
      </c>
      <c r="T187">
        <v>229</v>
      </c>
      <c r="U187" s="9" t="s">
        <v>62</v>
      </c>
      <c r="V187">
        <f>RANK(T187, T:T)</f>
        <v>81</v>
      </c>
      <c r="W187"/>
      <c r="X187">
        <v>3073</v>
      </c>
      <c r="Y187">
        <v>174</v>
      </c>
      <c r="Z187" s="9" t="s">
        <v>37</v>
      </c>
      <c r="AA187">
        <f>X187+Y187</f>
        <v>3247</v>
      </c>
    </row>
    <row r="188" spans="1:27" ht="14.4" x14ac:dyDescent="0.3">
      <c r="A188" s="3" t="s">
        <v>392</v>
      </c>
      <c r="B188" s="3" t="s">
        <v>43</v>
      </c>
      <c r="C188" s="11" t="s">
        <v>234</v>
      </c>
      <c r="D188" s="3" t="s">
        <v>16</v>
      </c>
      <c r="E188" s="21" t="s">
        <v>65</v>
      </c>
      <c r="F188" s="14">
        <v>3360</v>
      </c>
      <c r="G188" s="14">
        <v>525</v>
      </c>
      <c r="H188" s="14">
        <v>500</v>
      </c>
      <c r="I188" s="14">
        <v>60480</v>
      </c>
      <c r="J188" s="14">
        <v>59610</v>
      </c>
      <c r="K188" s="14">
        <v>192</v>
      </c>
      <c r="L188" s="4" t="s">
        <v>30</v>
      </c>
      <c r="M188" s="5" t="s">
        <v>19</v>
      </c>
      <c r="N188" s="17" t="s">
        <v>30</v>
      </c>
      <c r="Q188" s="25">
        <f>(F188+G188+H188)/I188</f>
        <v>7.2503306878306875E-2</v>
      </c>
      <c r="R188" s="15">
        <f t="shared" si="2"/>
        <v>4385</v>
      </c>
      <c r="T188">
        <v>235</v>
      </c>
      <c r="U188" s="9" t="s">
        <v>37</v>
      </c>
      <c r="V188">
        <f>RANK(T188, T:T)</f>
        <v>70</v>
      </c>
      <c r="W188"/>
      <c r="X188">
        <v>1330</v>
      </c>
      <c r="Y188">
        <v>35</v>
      </c>
      <c r="Z188" s="9" t="s">
        <v>62</v>
      </c>
      <c r="AA188">
        <f>X188+Y188</f>
        <v>1365</v>
      </c>
    </row>
    <row r="189" spans="1:27" ht="14.4" x14ac:dyDescent="0.3">
      <c r="A189" s="3" t="s">
        <v>393</v>
      </c>
      <c r="B189" s="3" t="s">
        <v>27</v>
      </c>
      <c r="C189" s="11" t="s">
        <v>394</v>
      </c>
      <c r="D189" s="3" t="s">
        <v>22</v>
      </c>
      <c r="E189" s="21" t="s">
        <v>104</v>
      </c>
      <c r="F189" s="14">
        <v>1963</v>
      </c>
      <c r="G189" s="14">
        <v>213</v>
      </c>
      <c r="H189" s="14">
        <v>19</v>
      </c>
      <c r="I189" s="14">
        <v>39260</v>
      </c>
      <c r="J189" s="14">
        <v>38771</v>
      </c>
      <c r="K189" s="14">
        <v>145</v>
      </c>
      <c r="L189" s="4" t="s">
        <v>62</v>
      </c>
      <c r="M189" s="5"/>
      <c r="N189" s="17" t="s">
        <v>62</v>
      </c>
      <c r="Q189" s="25">
        <f>(F189+G189+H189)/I189</f>
        <v>5.5909322465613857E-2</v>
      </c>
      <c r="R189" s="15">
        <f t="shared" si="2"/>
        <v>2195</v>
      </c>
      <c r="T189">
        <v>154</v>
      </c>
      <c r="U189" s="9" t="s">
        <v>62</v>
      </c>
      <c r="V189">
        <f>RANK(T189, T:T)</f>
        <v>171</v>
      </c>
      <c r="W189"/>
      <c r="X189">
        <v>3828</v>
      </c>
      <c r="Y189">
        <v>253</v>
      </c>
      <c r="Z189" s="9" t="s">
        <v>37</v>
      </c>
      <c r="AA189">
        <f>X189+Y189</f>
        <v>4081</v>
      </c>
    </row>
    <row r="190" spans="1:27" ht="14.4" x14ac:dyDescent="0.3">
      <c r="A190" s="3" t="s">
        <v>395</v>
      </c>
      <c r="B190" s="3" t="s">
        <v>27</v>
      </c>
      <c r="C190" s="11" t="s">
        <v>360</v>
      </c>
      <c r="D190" s="3" t="s">
        <v>35</v>
      </c>
      <c r="E190" s="21" t="s">
        <v>154</v>
      </c>
      <c r="F190" s="14">
        <v>4285</v>
      </c>
      <c r="G190" s="14">
        <v>886</v>
      </c>
      <c r="H190" s="14">
        <v>376</v>
      </c>
      <c r="I190" s="14">
        <v>55705</v>
      </c>
      <c r="J190" s="14">
        <v>55556</v>
      </c>
      <c r="K190" s="14">
        <v>51</v>
      </c>
      <c r="L190" s="4" t="s">
        <v>62</v>
      </c>
      <c r="M190" s="5" t="s">
        <v>31</v>
      </c>
      <c r="N190" s="17" t="s">
        <v>62</v>
      </c>
      <c r="Q190" s="25">
        <f>(F190+G190+H190)/I190</f>
        <v>9.9578134817341346E-2</v>
      </c>
      <c r="R190" s="15">
        <f t="shared" si="2"/>
        <v>5547</v>
      </c>
      <c r="T190">
        <v>266</v>
      </c>
      <c r="U190" s="9" t="s">
        <v>30</v>
      </c>
      <c r="V190">
        <f>RANK(T190, T:T)</f>
        <v>33</v>
      </c>
      <c r="W190"/>
      <c r="X190">
        <v>142</v>
      </c>
      <c r="Y190">
        <v>183</v>
      </c>
      <c r="Z190" s="9" t="s">
        <v>62</v>
      </c>
      <c r="AA190">
        <f>X190+Y190</f>
        <v>325</v>
      </c>
    </row>
    <row r="191" spans="1:27" ht="14.4" x14ac:dyDescent="0.3">
      <c r="A191" s="3" t="s">
        <v>396</v>
      </c>
      <c r="B191" s="3" t="s">
        <v>33</v>
      </c>
      <c r="C191" s="11" t="s">
        <v>397</v>
      </c>
      <c r="D191" s="3" t="s">
        <v>74</v>
      </c>
      <c r="E191" s="21" t="s">
        <v>85</v>
      </c>
      <c r="F191" s="14">
        <v>1176</v>
      </c>
      <c r="G191" s="14">
        <v>464</v>
      </c>
      <c r="H191" s="14">
        <v>394</v>
      </c>
      <c r="I191" s="14">
        <v>14112</v>
      </c>
      <c r="J191" s="14">
        <v>13588</v>
      </c>
      <c r="K191" s="14">
        <v>272</v>
      </c>
      <c r="L191" s="4" t="s">
        <v>37</v>
      </c>
      <c r="M191" s="5"/>
      <c r="N191" s="17" t="s">
        <v>37</v>
      </c>
      <c r="Q191" s="25">
        <f>(F191+G191+H191)/I191</f>
        <v>0.1441326530612245</v>
      </c>
      <c r="R191" s="15">
        <f t="shared" si="2"/>
        <v>2034</v>
      </c>
      <c r="T191">
        <v>52</v>
      </c>
      <c r="U191" s="9" t="s">
        <v>30</v>
      </c>
      <c r="V191">
        <f>RANK(T191, T:T)</f>
        <v>272</v>
      </c>
      <c r="W191"/>
      <c r="X191">
        <v>3798</v>
      </c>
      <c r="Y191">
        <v>279</v>
      </c>
      <c r="Z191" s="9" t="s">
        <v>30</v>
      </c>
      <c r="AA191">
        <f>X191+Y191</f>
        <v>4077</v>
      </c>
    </row>
    <row r="192" spans="1:27" ht="14.4" x14ac:dyDescent="0.3">
      <c r="A192" s="3" t="s">
        <v>398</v>
      </c>
      <c r="B192" s="3" t="s">
        <v>14</v>
      </c>
      <c r="C192" s="11" t="s">
        <v>399</v>
      </c>
      <c r="D192" s="3" t="s">
        <v>52</v>
      </c>
      <c r="E192" s="21" t="s">
        <v>132</v>
      </c>
      <c r="F192" s="14">
        <v>4858</v>
      </c>
      <c r="G192" s="14">
        <v>317</v>
      </c>
      <c r="H192" s="14">
        <v>129</v>
      </c>
      <c r="I192" s="14">
        <v>53438</v>
      </c>
      <c r="J192" s="14">
        <v>52687</v>
      </c>
      <c r="K192" s="14">
        <v>223</v>
      </c>
      <c r="L192" s="4" t="s">
        <v>37</v>
      </c>
      <c r="M192" s="5" t="s">
        <v>31</v>
      </c>
      <c r="N192" s="17" t="s">
        <v>37</v>
      </c>
      <c r="Q192" s="25">
        <f>(F192+G192+H192)/I192</f>
        <v>9.9255211647142488E-2</v>
      </c>
      <c r="R192" s="15">
        <f t="shared" si="2"/>
        <v>5304</v>
      </c>
      <c r="T192">
        <v>238</v>
      </c>
      <c r="U192" s="9" t="s">
        <v>30</v>
      </c>
      <c r="V192">
        <f>RANK(T192, T:T)</f>
        <v>63</v>
      </c>
      <c r="W192"/>
      <c r="X192">
        <v>3099</v>
      </c>
      <c r="Y192">
        <v>171</v>
      </c>
      <c r="Z192" s="9" t="s">
        <v>30</v>
      </c>
      <c r="AA192">
        <f>X192+Y192</f>
        <v>3270</v>
      </c>
    </row>
    <row r="193" spans="1:27" ht="14.4" x14ac:dyDescent="0.3">
      <c r="A193" s="3" t="s">
        <v>400</v>
      </c>
      <c r="B193" s="3" t="s">
        <v>27</v>
      </c>
      <c r="C193" s="11" t="s">
        <v>273</v>
      </c>
      <c r="D193" s="3" t="s">
        <v>35</v>
      </c>
      <c r="E193" s="21" t="s">
        <v>154</v>
      </c>
      <c r="F193" s="14">
        <v>4350</v>
      </c>
      <c r="G193" s="14">
        <v>771</v>
      </c>
      <c r="H193" s="14">
        <v>7</v>
      </c>
      <c r="I193" s="14">
        <v>60900</v>
      </c>
      <c r="J193" s="14">
        <v>60592</v>
      </c>
      <c r="K193" s="14">
        <v>195</v>
      </c>
      <c r="L193" s="4" t="s">
        <v>37</v>
      </c>
      <c r="M193" s="5" t="s">
        <v>19</v>
      </c>
      <c r="N193" s="17" t="s">
        <v>37</v>
      </c>
      <c r="Q193" s="25">
        <f>(F193+G193+H193)/I193</f>
        <v>8.4203612479474554E-2</v>
      </c>
      <c r="R193" s="15">
        <f t="shared" si="2"/>
        <v>5128</v>
      </c>
      <c r="T193">
        <v>292</v>
      </c>
      <c r="U193" s="9" t="s">
        <v>30</v>
      </c>
      <c r="V193">
        <f>RANK(T193, T:T)</f>
        <v>8</v>
      </c>
      <c r="W193"/>
      <c r="X193">
        <v>129</v>
      </c>
      <c r="Y193">
        <v>136</v>
      </c>
      <c r="Z193" s="9" t="s">
        <v>30</v>
      </c>
      <c r="AA193">
        <f>X193+Y193</f>
        <v>265</v>
      </c>
    </row>
    <row r="194" spans="1:27" ht="14.4" x14ac:dyDescent="0.3">
      <c r="A194" s="3" t="s">
        <v>401</v>
      </c>
      <c r="B194" s="3" t="s">
        <v>33</v>
      </c>
      <c r="C194" s="11" t="s">
        <v>402</v>
      </c>
      <c r="D194" s="3" t="s">
        <v>45</v>
      </c>
      <c r="E194" s="21" t="s">
        <v>88</v>
      </c>
      <c r="F194" s="14">
        <v>914</v>
      </c>
      <c r="G194" s="14">
        <v>464</v>
      </c>
      <c r="H194" s="14">
        <v>246</v>
      </c>
      <c r="I194" s="14">
        <v>11882</v>
      </c>
      <c r="J194" s="14">
        <v>11500</v>
      </c>
      <c r="K194" s="14">
        <v>282</v>
      </c>
      <c r="L194" s="4" t="s">
        <v>216</v>
      </c>
      <c r="M194" s="5" t="s">
        <v>38</v>
      </c>
      <c r="N194" s="17" t="s">
        <v>62</v>
      </c>
      <c r="O194" s="17" t="s">
        <v>30</v>
      </c>
      <c r="P194" s="17" t="s">
        <v>593</v>
      </c>
      <c r="Q194" s="25">
        <f>(F194+G194+H194)/I194</f>
        <v>0.13667732704931829</v>
      </c>
      <c r="R194" s="15">
        <f t="shared" si="2"/>
        <v>1624</v>
      </c>
      <c r="T194">
        <v>11</v>
      </c>
      <c r="U194" s="9" t="s">
        <v>30</v>
      </c>
      <c r="V194">
        <f>RANK(T194, T:T)</f>
        <v>328</v>
      </c>
      <c r="W194"/>
      <c r="X194">
        <v>3796</v>
      </c>
      <c r="Y194">
        <v>395</v>
      </c>
      <c r="Z194" s="9" t="s">
        <v>30</v>
      </c>
      <c r="AA194">
        <f>X194+Y194</f>
        <v>4191</v>
      </c>
    </row>
    <row r="195" spans="1:27" ht="14.4" x14ac:dyDescent="0.3">
      <c r="A195" s="3" t="s">
        <v>403</v>
      </c>
      <c r="B195" s="3" t="s">
        <v>33</v>
      </c>
      <c r="C195" s="11" t="s">
        <v>404</v>
      </c>
      <c r="D195" s="3" t="s">
        <v>22</v>
      </c>
      <c r="E195" s="21" t="s">
        <v>113</v>
      </c>
      <c r="F195" s="14">
        <v>1813</v>
      </c>
      <c r="G195" s="14">
        <v>623</v>
      </c>
      <c r="H195" s="14">
        <v>72</v>
      </c>
      <c r="I195" s="14">
        <v>19943</v>
      </c>
      <c r="J195" s="14">
        <v>18959</v>
      </c>
      <c r="K195" s="14">
        <v>85</v>
      </c>
      <c r="L195" s="4" t="s">
        <v>37</v>
      </c>
      <c r="M195" s="5" t="s">
        <v>31</v>
      </c>
      <c r="N195" s="17" t="s">
        <v>37</v>
      </c>
      <c r="Q195" s="25">
        <f>(F195+G195+H195)/I195</f>
        <v>0.12575841147269717</v>
      </c>
      <c r="R195" s="15">
        <f t="shared" ref="R195:R258" si="3">F195+G195+H195</f>
        <v>2508</v>
      </c>
      <c r="T195">
        <v>239</v>
      </c>
      <c r="U195" s="9" t="s">
        <v>37</v>
      </c>
      <c r="V195">
        <f>RANK(T195, T:T)</f>
        <v>62</v>
      </c>
      <c r="W195"/>
      <c r="X195">
        <v>3711</v>
      </c>
      <c r="Y195">
        <v>290</v>
      </c>
      <c r="Z195" s="9" t="s">
        <v>30</v>
      </c>
      <c r="AA195">
        <f>X195+Y195</f>
        <v>4001</v>
      </c>
    </row>
    <row r="196" spans="1:27" ht="14.4" x14ac:dyDescent="0.3">
      <c r="A196" s="3" t="s">
        <v>405</v>
      </c>
      <c r="B196" s="3" t="s">
        <v>14</v>
      </c>
      <c r="C196" s="11" t="s">
        <v>339</v>
      </c>
      <c r="D196" s="3" t="s">
        <v>16</v>
      </c>
      <c r="E196" s="21" t="s">
        <v>17</v>
      </c>
      <c r="F196" s="14">
        <v>4782</v>
      </c>
      <c r="G196" s="14">
        <v>721</v>
      </c>
      <c r="H196" s="14">
        <v>82</v>
      </c>
      <c r="I196" s="14">
        <v>86076</v>
      </c>
      <c r="J196" s="14">
        <v>85339</v>
      </c>
      <c r="K196" s="14">
        <v>19</v>
      </c>
      <c r="L196" s="4" t="s">
        <v>37</v>
      </c>
      <c r="M196" s="5" t="s">
        <v>19</v>
      </c>
      <c r="N196" s="17" t="s">
        <v>37</v>
      </c>
      <c r="Q196" s="25">
        <f>(F196+G196+H196)/I196</f>
        <v>6.4884520656164318E-2</v>
      </c>
      <c r="R196" s="15">
        <f t="shared" si="3"/>
        <v>5585</v>
      </c>
      <c r="T196">
        <v>173</v>
      </c>
      <c r="U196" s="9" t="s">
        <v>30</v>
      </c>
      <c r="V196">
        <f>RANK(T196, T:T)</f>
        <v>150</v>
      </c>
      <c r="W196"/>
      <c r="X196">
        <v>606</v>
      </c>
      <c r="Y196">
        <v>470</v>
      </c>
      <c r="Z196" s="9" t="s">
        <v>37</v>
      </c>
      <c r="AA196">
        <f>X196+Y196</f>
        <v>1076</v>
      </c>
    </row>
    <row r="197" spans="1:27" ht="14.4" x14ac:dyDescent="0.3">
      <c r="A197" s="3" t="s">
        <v>406</v>
      </c>
      <c r="B197" s="3" t="s">
        <v>14</v>
      </c>
      <c r="C197" s="11" t="s">
        <v>407</v>
      </c>
      <c r="D197" s="3" t="s">
        <v>52</v>
      </c>
      <c r="E197" s="21" t="s">
        <v>132</v>
      </c>
      <c r="F197" s="14">
        <v>1048</v>
      </c>
      <c r="G197" s="14">
        <v>374</v>
      </c>
      <c r="H197" s="14">
        <v>450</v>
      </c>
      <c r="I197" s="14">
        <v>9432</v>
      </c>
      <c r="J197" s="14">
        <v>8882</v>
      </c>
      <c r="K197" s="14">
        <v>158</v>
      </c>
      <c r="L197" s="4" t="s">
        <v>30</v>
      </c>
      <c r="M197" s="5" t="s">
        <v>31</v>
      </c>
      <c r="N197" s="17" t="s">
        <v>30</v>
      </c>
      <c r="Q197" s="25">
        <f>(F197+G197+H197)/I197</f>
        <v>0.19847328244274809</v>
      </c>
      <c r="R197" s="15">
        <f t="shared" si="3"/>
        <v>1872</v>
      </c>
      <c r="T197">
        <v>208</v>
      </c>
      <c r="U197" s="9" t="s">
        <v>62</v>
      </c>
      <c r="V197">
        <f>RANK(T197, T:T)</f>
        <v>109</v>
      </c>
      <c r="W197"/>
      <c r="X197">
        <v>4689</v>
      </c>
      <c r="Y197">
        <v>403</v>
      </c>
      <c r="Z197" s="9" t="s">
        <v>30</v>
      </c>
      <c r="AA197">
        <f>X197+Y197</f>
        <v>5092</v>
      </c>
    </row>
    <row r="198" spans="1:27" ht="14.4" x14ac:dyDescent="0.3">
      <c r="A198" s="3" t="s">
        <v>408</v>
      </c>
      <c r="B198" s="3" t="s">
        <v>27</v>
      </c>
      <c r="C198" s="11" t="s">
        <v>121</v>
      </c>
      <c r="D198" s="3" t="s">
        <v>45</v>
      </c>
      <c r="E198" s="21" t="s">
        <v>68</v>
      </c>
      <c r="F198" s="14">
        <v>2509</v>
      </c>
      <c r="G198" s="14">
        <v>324</v>
      </c>
      <c r="H198" s="14">
        <v>171</v>
      </c>
      <c r="I198" s="14">
        <v>35126</v>
      </c>
      <c r="J198" s="14">
        <v>34685</v>
      </c>
      <c r="K198" s="14">
        <v>277</v>
      </c>
      <c r="L198" s="4" t="s">
        <v>30</v>
      </c>
      <c r="M198" s="5" t="s">
        <v>25</v>
      </c>
      <c r="N198" s="17" t="s">
        <v>30</v>
      </c>
      <c r="Q198" s="25">
        <f>(F198+G198+H198)/I198</f>
        <v>8.5520696919660646E-2</v>
      </c>
      <c r="R198" s="15">
        <f t="shared" si="3"/>
        <v>3004</v>
      </c>
      <c r="T198">
        <v>251</v>
      </c>
      <c r="U198" s="9" t="s">
        <v>37</v>
      </c>
      <c r="V198">
        <f>RANK(T198, T:T)</f>
        <v>45</v>
      </c>
      <c r="W198"/>
      <c r="X198">
        <v>360</v>
      </c>
      <c r="Y198">
        <v>393</v>
      </c>
      <c r="Z198" s="9" t="s">
        <v>62</v>
      </c>
      <c r="AA198">
        <f>X198+Y198</f>
        <v>753</v>
      </c>
    </row>
    <row r="199" spans="1:27" ht="14.4" x14ac:dyDescent="0.3">
      <c r="A199" s="3" t="s">
        <v>409</v>
      </c>
      <c r="B199" s="3" t="s">
        <v>43</v>
      </c>
      <c r="C199" s="11" t="s">
        <v>410</v>
      </c>
      <c r="D199" s="3" t="s">
        <v>16</v>
      </c>
      <c r="E199" s="21" t="s">
        <v>65</v>
      </c>
      <c r="F199" s="14">
        <v>3718</v>
      </c>
      <c r="G199" s="14">
        <v>385</v>
      </c>
      <c r="H199" s="14">
        <v>310</v>
      </c>
      <c r="I199" s="14">
        <v>70642</v>
      </c>
      <c r="J199" s="14">
        <v>69749</v>
      </c>
      <c r="K199" s="14">
        <v>233</v>
      </c>
      <c r="L199" s="4" t="s">
        <v>30</v>
      </c>
      <c r="M199" s="5" t="s">
        <v>25</v>
      </c>
      <c r="N199" s="17" t="s">
        <v>30</v>
      </c>
      <c r="Q199" s="25">
        <f>(F199+G199+H199)/I199</f>
        <v>6.246991874522239E-2</v>
      </c>
      <c r="R199" s="15">
        <f t="shared" si="3"/>
        <v>4413</v>
      </c>
      <c r="T199">
        <v>71</v>
      </c>
      <c r="U199" s="9" t="s">
        <v>37</v>
      </c>
      <c r="V199">
        <f>RANK(T199, T:T)</f>
        <v>256</v>
      </c>
      <c r="W199"/>
      <c r="X199">
        <v>3215</v>
      </c>
      <c r="Y199">
        <v>202</v>
      </c>
      <c r="Z199" s="9" t="s">
        <v>37</v>
      </c>
      <c r="AA199">
        <f>X199+Y199</f>
        <v>3417</v>
      </c>
    </row>
    <row r="200" spans="1:27" ht="14.4" x14ac:dyDescent="0.3">
      <c r="A200" s="3" t="s">
        <v>411</v>
      </c>
      <c r="B200" s="3" t="s">
        <v>14</v>
      </c>
      <c r="C200" s="11" t="s">
        <v>412</v>
      </c>
      <c r="D200" s="3" t="s">
        <v>16</v>
      </c>
      <c r="E200" s="21" t="s">
        <v>17</v>
      </c>
      <c r="F200" s="14">
        <v>802</v>
      </c>
      <c r="G200" s="14">
        <v>262</v>
      </c>
      <c r="H200" s="14">
        <v>244</v>
      </c>
      <c r="I200" s="14">
        <v>14436</v>
      </c>
      <c r="J200" s="14">
        <v>14280</v>
      </c>
      <c r="K200" s="14">
        <v>49</v>
      </c>
      <c r="L200" s="4" t="s">
        <v>37</v>
      </c>
      <c r="M200" s="5" t="s">
        <v>19</v>
      </c>
      <c r="N200" s="17" t="s">
        <v>37</v>
      </c>
      <c r="Q200" s="25">
        <f>(F200+G200+H200)/I200</f>
        <v>9.0606816292601824E-2</v>
      </c>
      <c r="R200" s="15">
        <f t="shared" si="3"/>
        <v>1308</v>
      </c>
      <c r="T200">
        <v>264</v>
      </c>
      <c r="U200" s="9" t="s">
        <v>37</v>
      </c>
      <c r="V200">
        <f>RANK(T200, T:T)</f>
        <v>36</v>
      </c>
      <c r="W200"/>
      <c r="X200">
        <v>4523</v>
      </c>
      <c r="Y200">
        <v>157</v>
      </c>
      <c r="Z200" s="9" t="s">
        <v>37</v>
      </c>
      <c r="AA200">
        <f>X200+Y200</f>
        <v>4680</v>
      </c>
    </row>
    <row r="201" spans="1:27" ht="14.4" x14ac:dyDescent="0.3">
      <c r="A201" s="3" t="s">
        <v>413</v>
      </c>
      <c r="B201" s="3" t="s">
        <v>43</v>
      </c>
      <c r="C201" s="11" t="s">
        <v>414</v>
      </c>
      <c r="D201" s="3" t="s">
        <v>52</v>
      </c>
      <c r="E201" s="21" t="s">
        <v>59</v>
      </c>
      <c r="F201" s="14">
        <v>1871</v>
      </c>
      <c r="G201" s="14">
        <v>252</v>
      </c>
      <c r="H201" s="14">
        <v>335</v>
      </c>
      <c r="I201" s="14">
        <v>29936</v>
      </c>
      <c r="J201" s="14">
        <v>29576</v>
      </c>
      <c r="K201" s="14">
        <v>288</v>
      </c>
      <c r="L201" s="4" t="s">
        <v>37</v>
      </c>
      <c r="M201" s="5" t="s">
        <v>31</v>
      </c>
      <c r="N201" s="17" t="s">
        <v>37</v>
      </c>
      <c r="Q201" s="25">
        <f>(F201+G201+H201)/I201</f>
        <v>8.2108498129342594E-2</v>
      </c>
      <c r="R201" s="15">
        <f t="shared" si="3"/>
        <v>2458</v>
      </c>
      <c r="T201">
        <v>300</v>
      </c>
      <c r="U201" s="9" t="s">
        <v>37</v>
      </c>
      <c r="V201">
        <f>RANK(T201, T:T)</f>
        <v>1</v>
      </c>
      <c r="W201"/>
      <c r="X201">
        <v>4292</v>
      </c>
      <c r="Y201">
        <v>392</v>
      </c>
      <c r="Z201" s="9" t="s">
        <v>37</v>
      </c>
      <c r="AA201">
        <f>X201+Y201</f>
        <v>4684</v>
      </c>
    </row>
    <row r="202" spans="1:27" ht="14.4" x14ac:dyDescent="0.3">
      <c r="A202" s="3" t="s">
        <v>415</v>
      </c>
      <c r="B202" s="3" t="s">
        <v>33</v>
      </c>
      <c r="C202" s="11" t="s">
        <v>416</v>
      </c>
      <c r="D202" s="3" t="s">
        <v>45</v>
      </c>
      <c r="E202" s="21" t="s">
        <v>88</v>
      </c>
      <c r="F202" s="14">
        <v>3773</v>
      </c>
      <c r="G202" s="14">
        <v>299</v>
      </c>
      <c r="H202" s="14">
        <v>38</v>
      </c>
      <c r="I202" s="14">
        <v>71687</v>
      </c>
      <c r="J202" s="14">
        <v>71447</v>
      </c>
      <c r="K202" s="14">
        <v>286</v>
      </c>
      <c r="L202" s="4" t="s">
        <v>62</v>
      </c>
      <c r="M202" s="5" t="s">
        <v>19</v>
      </c>
      <c r="N202" s="17" t="s">
        <v>62</v>
      </c>
      <c r="Q202" s="25">
        <f>(F202+G202+H202)/I202</f>
        <v>5.7332570758993957E-2</v>
      </c>
      <c r="R202" s="15">
        <f t="shared" si="3"/>
        <v>4110</v>
      </c>
      <c r="T202">
        <v>137</v>
      </c>
      <c r="U202" s="9" t="s">
        <v>62</v>
      </c>
      <c r="V202">
        <f>RANK(T202, T:T)</f>
        <v>185</v>
      </c>
      <c r="W202"/>
      <c r="X202">
        <v>1644</v>
      </c>
      <c r="Y202">
        <v>150</v>
      </c>
      <c r="Z202" s="9" t="s">
        <v>37</v>
      </c>
      <c r="AA202">
        <f>X202+Y202</f>
        <v>1794</v>
      </c>
    </row>
    <row r="203" spans="1:27" ht="14.4" x14ac:dyDescent="0.3">
      <c r="A203" s="3" t="s">
        <v>417</v>
      </c>
      <c r="B203" s="3" t="s">
        <v>33</v>
      </c>
      <c r="C203" s="11" t="s">
        <v>334</v>
      </c>
      <c r="D203" s="3" t="s">
        <v>45</v>
      </c>
      <c r="E203" s="21" t="s">
        <v>88</v>
      </c>
      <c r="F203" s="14">
        <v>2234</v>
      </c>
      <c r="G203" s="14">
        <v>653</v>
      </c>
      <c r="H203" s="14">
        <v>432</v>
      </c>
      <c r="I203" s="14">
        <v>11170</v>
      </c>
      <c r="J203" s="14">
        <v>10569</v>
      </c>
      <c r="K203" s="14">
        <v>198</v>
      </c>
      <c r="L203" s="4" t="s">
        <v>62</v>
      </c>
      <c r="M203" s="5" t="s">
        <v>31</v>
      </c>
      <c r="N203" s="17" t="s">
        <v>62</v>
      </c>
      <c r="Q203" s="25">
        <f>(F203+G203+H203)/I203</f>
        <v>0.29713518352730528</v>
      </c>
      <c r="R203" s="15">
        <f t="shared" si="3"/>
        <v>3319</v>
      </c>
      <c r="T203">
        <v>192</v>
      </c>
      <c r="U203" s="9" t="s">
        <v>30</v>
      </c>
      <c r="V203">
        <f>RANK(T203, T:T)</f>
        <v>131</v>
      </c>
      <c r="W203"/>
      <c r="X203">
        <v>2728</v>
      </c>
      <c r="Y203">
        <v>215</v>
      </c>
      <c r="Z203" s="9" t="s">
        <v>62</v>
      </c>
      <c r="AA203">
        <f>X203+Y203</f>
        <v>2943</v>
      </c>
    </row>
    <row r="204" spans="1:27" ht="14.4" x14ac:dyDescent="0.3">
      <c r="A204" s="3" t="s">
        <v>418</v>
      </c>
      <c r="B204" s="3" t="s">
        <v>14</v>
      </c>
      <c r="C204" s="11" t="s">
        <v>303</v>
      </c>
      <c r="D204" s="3" t="s">
        <v>74</v>
      </c>
      <c r="E204" s="21" t="s">
        <v>145</v>
      </c>
      <c r="F204" s="14">
        <v>3820</v>
      </c>
      <c r="G204" s="14">
        <v>697</v>
      </c>
      <c r="H204" s="14">
        <v>268</v>
      </c>
      <c r="I204" s="14">
        <v>45840</v>
      </c>
      <c r="J204" s="14">
        <v>45631</v>
      </c>
      <c r="K204" s="14">
        <v>171</v>
      </c>
      <c r="L204" s="4" t="s">
        <v>419</v>
      </c>
      <c r="M204" s="5" t="s">
        <v>38</v>
      </c>
      <c r="N204" s="17" t="s">
        <v>30</v>
      </c>
      <c r="O204" s="17" t="s">
        <v>588</v>
      </c>
      <c r="Q204" s="25">
        <f>(F204+G204+H204)/I204</f>
        <v>0.1043848167539267</v>
      </c>
      <c r="R204" s="15">
        <f t="shared" si="3"/>
        <v>4785</v>
      </c>
      <c r="T204">
        <v>145</v>
      </c>
      <c r="U204" s="9" t="s">
        <v>62</v>
      </c>
      <c r="V204">
        <f>RANK(T204, T:T)</f>
        <v>177</v>
      </c>
      <c r="W204"/>
      <c r="X204">
        <v>3360</v>
      </c>
      <c r="Y204">
        <v>500</v>
      </c>
      <c r="Z204" s="9" t="s">
        <v>30</v>
      </c>
      <c r="AA204">
        <f>X204+Y204</f>
        <v>3860</v>
      </c>
    </row>
    <row r="205" spans="1:27" ht="14.4" x14ac:dyDescent="0.3">
      <c r="A205" s="3" t="s">
        <v>420</v>
      </c>
      <c r="B205" s="3" t="s">
        <v>14</v>
      </c>
      <c r="C205" s="11" t="s">
        <v>48</v>
      </c>
      <c r="D205" s="3" t="s">
        <v>22</v>
      </c>
      <c r="E205" s="21" t="s">
        <v>23</v>
      </c>
      <c r="F205" s="14">
        <v>941</v>
      </c>
      <c r="G205" s="14">
        <v>121</v>
      </c>
      <c r="H205" s="14">
        <v>458</v>
      </c>
      <c r="I205" s="14">
        <v>14115</v>
      </c>
      <c r="J205" s="14">
        <v>13838</v>
      </c>
      <c r="K205" s="14">
        <v>87</v>
      </c>
      <c r="L205" s="4" t="s">
        <v>37</v>
      </c>
      <c r="M205" s="5" t="s">
        <v>19</v>
      </c>
      <c r="N205" s="17" t="s">
        <v>37</v>
      </c>
      <c r="Q205" s="25">
        <f>(F205+G205+H205)/I205</f>
        <v>0.10768685795253277</v>
      </c>
      <c r="R205" s="15">
        <f t="shared" si="3"/>
        <v>1520</v>
      </c>
      <c r="T205">
        <v>51</v>
      </c>
      <c r="U205" s="9" t="s">
        <v>62</v>
      </c>
      <c r="V205">
        <f>RANK(T205, T:T)</f>
        <v>275</v>
      </c>
      <c r="W205"/>
      <c r="X205">
        <v>1963</v>
      </c>
      <c r="Y205">
        <v>19</v>
      </c>
      <c r="Z205" s="9" t="s">
        <v>62</v>
      </c>
      <c r="AA205">
        <f>X205+Y205</f>
        <v>1982</v>
      </c>
    </row>
    <row r="206" spans="1:27" ht="14.4" x14ac:dyDescent="0.3">
      <c r="A206" s="3" t="s">
        <v>421</v>
      </c>
      <c r="B206" s="3" t="s">
        <v>14</v>
      </c>
      <c r="C206" s="11" t="s">
        <v>422</v>
      </c>
      <c r="D206" s="3" t="s">
        <v>45</v>
      </c>
      <c r="E206" s="21" t="s">
        <v>49</v>
      </c>
      <c r="F206" s="14">
        <v>4274</v>
      </c>
      <c r="G206" s="14">
        <v>340</v>
      </c>
      <c r="H206" s="14">
        <v>281</v>
      </c>
      <c r="I206" s="14">
        <v>34192</v>
      </c>
      <c r="J206" s="14">
        <v>33446</v>
      </c>
      <c r="K206" s="14">
        <v>129</v>
      </c>
      <c r="L206" s="4" t="s">
        <v>419</v>
      </c>
      <c r="M206" s="5" t="s">
        <v>31</v>
      </c>
      <c r="N206" s="17" t="s">
        <v>30</v>
      </c>
      <c r="O206" s="17" t="s">
        <v>588</v>
      </c>
      <c r="Q206" s="25">
        <f>(F206+G206+H206)/I206</f>
        <v>0.14316214319138981</v>
      </c>
      <c r="R206" s="15">
        <f t="shared" si="3"/>
        <v>4895</v>
      </c>
      <c r="T206">
        <v>272</v>
      </c>
      <c r="U206" s="9" t="s">
        <v>37</v>
      </c>
      <c r="V206">
        <f>RANK(T206, T:T)</f>
        <v>27</v>
      </c>
      <c r="W206"/>
      <c r="X206">
        <v>4285</v>
      </c>
      <c r="Y206">
        <v>376</v>
      </c>
      <c r="Z206" s="9" t="s">
        <v>62</v>
      </c>
      <c r="AA206">
        <f>X206+Y206</f>
        <v>4661</v>
      </c>
    </row>
    <row r="207" spans="1:27" ht="14.4" x14ac:dyDescent="0.3">
      <c r="A207" s="3" t="s">
        <v>423</v>
      </c>
      <c r="B207" s="3" t="s">
        <v>27</v>
      </c>
      <c r="C207" s="11" t="s">
        <v>48</v>
      </c>
      <c r="D207" s="3" t="s">
        <v>74</v>
      </c>
      <c r="E207" s="21" t="s">
        <v>219</v>
      </c>
      <c r="F207" s="14">
        <v>2949</v>
      </c>
      <c r="G207" s="14">
        <v>476</v>
      </c>
      <c r="H207" s="14">
        <v>403</v>
      </c>
      <c r="I207" s="14">
        <v>44235</v>
      </c>
      <c r="J207" s="14">
        <v>43705</v>
      </c>
      <c r="K207" s="14">
        <v>135</v>
      </c>
      <c r="L207" s="4" t="s">
        <v>30</v>
      </c>
      <c r="M207" s="5" t="s">
        <v>25</v>
      </c>
      <c r="N207" s="17" t="s">
        <v>30</v>
      </c>
      <c r="Q207" s="25">
        <f>(F207+G207+H207)/I207</f>
        <v>8.6537809426924378E-2</v>
      </c>
      <c r="R207" s="15">
        <f t="shared" si="3"/>
        <v>3828</v>
      </c>
      <c r="T207">
        <v>223</v>
      </c>
      <c r="U207" s="9" t="s">
        <v>37</v>
      </c>
      <c r="V207">
        <f>RANK(T207, T:T)</f>
        <v>91</v>
      </c>
      <c r="W207"/>
      <c r="X207">
        <v>1176</v>
      </c>
      <c r="Y207">
        <v>394</v>
      </c>
      <c r="Z207" s="9" t="s">
        <v>37</v>
      </c>
      <c r="AA207">
        <f>X207+Y207</f>
        <v>1570</v>
      </c>
    </row>
    <row r="208" spans="1:27" ht="14.4" x14ac:dyDescent="0.3">
      <c r="A208" s="3" t="s">
        <v>424</v>
      </c>
      <c r="B208" s="3" t="s">
        <v>14</v>
      </c>
      <c r="C208" s="11" t="s">
        <v>425</v>
      </c>
      <c r="D208" s="3" t="s">
        <v>74</v>
      </c>
      <c r="E208" s="21" t="s">
        <v>145</v>
      </c>
      <c r="F208" s="14">
        <v>3160</v>
      </c>
      <c r="G208" s="14">
        <v>204</v>
      </c>
      <c r="H208" s="14">
        <v>297</v>
      </c>
      <c r="I208" s="14">
        <v>44240</v>
      </c>
      <c r="J208" s="14">
        <v>43666</v>
      </c>
      <c r="K208" s="14">
        <v>49</v>
      </c>
      <c r="L208" s="4" t="s">
        <v>18</v>
      </c>
      <c r="M208" s="5" t="s">
        <v>38</v>
      </c>
      <c r="N208" s="17" t="s">
        <v>62</v>
      </c>
      <c r="O208" s="17" t="s">
        <v>593</v>
      </c>
      <c r="Q208" s="25">
        <f>(F208+G208+H208)/I208</f>
        <v>8.2753164556962022E-2</v>
      </c>
      <c r="R208" s="15">
        <f t="shared" si="3"/>
        <v>3661</v>
      </c>
      <c r="T208">
        <v>195</v>
      </c>
      <c r="U208" s="9" t="s">
        <v>37</v>
      </c>
      <c r="V208">
        <f>RANK(T208, T:T)</f>
        <v>125</v>
      </c>
      <c r="W208"/>
      <c r="X208">
        <v>4858</v>
      </c>
      <c r="Y208">
        <v>129</v>
      </c>
      <c r="Z208" s="9" t="s">
        <v>37</v>
      </c>
      <c r="AA208">
        <f>X208+Y208</f>
        <v>4987</v>
      </c>
    </row>
    <row r="209" spans="1:27" ht="14.4" x14ac:dyDescent="0.3">
      <c r="A209" s="3" t="s">
        <v>426</v>
      </c>
      <c r="B209" s="3" t="s">
        <v>27</v>
      </c>
      <c r="C209" s="11" t="s">
        <v>348</v>
      </c>
      <c r="D209" s="3" t="s">
        <v>52</v>
      </c>
      <c r="E209" s="21" t="s">
        <v>53</v>
      </c>
      <c r="F209" s="14">
        <v>257</v>
      </c>
      <c r="G209" s="14">
        <v>966</v>
      </c>
      <c r="H209" s="14">
        <v>398</v>
      </c>
      <c r="I209" s="14">
        <v>3341</v>
      </c>
      <c r="J209" s="14">
        <v>2753</v>
      </c>
      <c r="K209" s="14">
        <v>287</v>
      </c>
      <c r="L209" s="4" t="s">
        <v>62</v>
      </c>
      <c r="M209" s="5" t="s">
        <v>19</v>
      </c>
      <c r="N209" s="17" t="s">
        <v>62</v>
      </c>
      <c r="Q209" s="25">
        <f>(F209+G209+H209)/I209</f>
        <v>0.48518407662376534</v>
      </c>
      <c r="R209" s="15">
        <f t="shared" si="3"/>
        <v>1621</v>
      </c>
      <c r="T209">
        <v>282</v>
      </c>
      <c r="U209" s="9" t="s">
        <v>62</v>
      </c>
      <c r="V209">
        <f>RANK(T209, T:T)</f>
        <v>15</v>
      </c>
      <c r="W209"/>
      <c r="X209">
        <v>4350</v>
      </c>
      <c r="Y209">
        <v>7</v>
      </c>
      <c r="Z209" s="9" t="s">
        <v>37</v>
      </c>
      <c r="AA209">
        <f>X209+Y209</f>
        <v>4357</v>
      </c>
    </row>
    <row r="210" spans="1:27" ht="14.4" x14ac:dyDescent="0.3">
      <c r="A210" s="3" t="s">
        <v>427</v>
      </c>
      <c r="B210" s="3" t="s">
        <v>14</v>
      </c>
      <c r="C210" s="11" t="s">
        <v>428</v>
      </c>
      <c r="D210" s="3" t="s">
        <v>45</v>
      </c>
      <c r="E210" s="21" t="s">
        <v>49</v>
      </c>
      <c r="F210" s="14">
        <v>2120</v>
      </c>
      <c r="G210" s="14">
        <v>38</v>
      </c>
      <c r="H210" s="14">
        <v>212</v>
      </c>
      <c r="I210" s="14">
        <v>12720</v>
      </c>
      <c r="J210" s="14">
        <v>12564</v>
      </c>
      <c r="K210" s="14">
        <v>21</v>
      </c>
      <c r="L210" s="4" t="s">
        <v>62</v>
      </c>
      <c r="M210" s="5" t="s">
        <v>38</v>
      </c>
      <c r="N210" s="17" t="s">
        <v>62</v>
      </c>
      <c r="Q210" s="25">
        <f>(F210+G210+H210)/I210</f>
        <v>0.18632075471698112</v>
      </c>
      <c r="R210" s="15">
        <f t="shared" si="3"/>
        <v>2370</v>
      </c>
      <c r="T210">
        <v>282</v>
      </c>
      <c r="U210" s="9" t="s">
        <v>30</v>
      </c>
      <c r="V210">
        <f>RANK(T210, T:T)</f>
        <v>15</v>
      </c>
      <c r="W210"/>
      <c r="X210">
        <v>914</v>
      </c>
      <c r="Y210">
        <v>246</v>
      </c>
      <c r="Z210" s="9" t="s">
        <v>62</v>
      </c>
      <c r="AA210">
        <f>X210+Y210</f>
        <v>1160</v>
      </c>
    </row>
    <row r="211" spans="1:27" ht="14.4" x14ac:dyDescent="0.3">
      <c r="A211" s="3" t="s">
        <v>429</v>
      </c>
      <c r="B211" s="3" t="s">
        <v>27</v>
      </c>
      <c r="C211" s="11" t="s">
        <v>197</v>
      </c>
      <c r="D211" s="3" t="s">
        <v>74</v>
      </c>
      <c r="E211" s="21" t="s">
        <v>219</v>
      </c>
      <c r="F211" s="14">
        <v>3874</v>
      </c>
      <c r="G211" s="14">
        <v>884</v>
      </c>
      <c r="H211" s="14">
        <v>19</v>
      </c>
      <c r="I211" s="14">
        <v>38740</v>
      </c>
      <c r="J211" s="14">
        <v>38552</v>
      </c>
      <c r="K211" s="14">
        <v>219</v>
      </c>
      <c r="L211" s="4" t="s">
        <v>30</v>
      </c>
      <c r="M211" s="5" t="s">
        <v>25</v>
      </c>
      <c r="N211" s="17" t="s">
        <v>30</v>
      </c>
      <c r="Q211" s="25">
        <f>(F211+G211+H211)/I211</f>
        <v>0.123309241094476</v>
      </c>
      <c r="R211" s="15">
        <f t="shared" si="3"/>
        <v>4777</v>
      </c>
      <c r="T211">
        <v>282</v>
      </c>
      <c r="U211" s="9" t="s">
        <v>593</v>
      </c>
      <c r="V211">
        <f>RANK(T211, T:T)</f>
        <v>15</v>
      </c>
      <c r="W211"/>
      <c r="X211">
        <v>914</v>
      </c>
      <c r="Y211">
        <v>246</v>
      </c>
      <c r="Z211" s="9" t="s">
        <v>30</v>
      </c>
      <c r="AA211">
        <f>X211+Y211</f>
        <v>1160</v>
      </c>
    </row>
    <row r="212" spans="1:27" ht="14.4" x14ac:dyDescent="0.3">
      <c r="A212" s="3" t="s">
        <v>430</v>
      </c>
      <c r="B212" s="3" t="s">
        <v>43</v>
      </c>
      <c r="C212" s="11" t="s">
        <v>431</v>
      </c>
      <c r="D212" s="3" t="s">
        <v>45</v>
      </c>
      <c r="E212" s="21" t="s">
        <v>46</v>
      </c>
      <c r="F212" s="14">
        <v>2696</v>
      </c>
      <c r="G212" s="14">
        <v>628</v>
      </c>
      <c r="H212" s="14">
        <v>443</v>
      </c>
      <c r="I212" s="14">
        <v>45832</v>
      </c>
      <c r="J212" s="14">
        <v>45632</v>
      </c>
      <c r="K212" s="14">
        <v>248</v>
      </c>
      <c r="L212" s="4" t="s">
        <v>37</v>
      </c>
      <c r="M212" s="5" t="s">
        <v>38</v>
      </c>
      <c r="N212" s="17" t="s">
        <v>37</v>
      </c>
      <c r="Q212" s="25">
        <f>(F212+G212+H212)/I212</f>
        <v>8.21914819340199E-2</v>
      </c>
      <c r="R212" s="15">
        <f t="shared" si="3"/>
        <v>3767</v>
      </c>
      <c r="T212">
        <v>85</v>
      </c>
      <c r="U212" s="9" t="s">
        <v>37</v>
      </c>
      <c r="V212">
        <f>RANK(T212, T:T)</f>
        <v>243</v>
      </c>
      <c r="W212"/>
      <c r="X212">
        <v>914</v>
      </c>
      <c r="Y212">
        <v>246</v>
      </c>
      <c r="Z212" s="9" t="s">
        <v>593</v>
      </c>
      <c r="AA212">
        <f>X212+Y212</f>
        <v>1160</v>
      </c>
    </row>
    <row r="213" spans="1:27" ht="14.4" x14ac:dyDescent="0.3">
      <c r="A213" s="3" t="s">
        <v>432</v>
      </c>
      <c r="B213" s="3" t="s">
        <v>33</v>
      </c>
      <c r="C213" s="11" t="s">
        <v>15</v>
      </c>
      <c r="D213" s="3" t="s">
        <v>52</v>
      </c>
      <c r="E213" s="21" t="s">
        <v>215</v>
      </c>
      <c r="F213" s="14">
        <v>521</v>
      </c>
      <c r="G213" s="14">
        <v>746</v>
      </c>
      <c r="H213" s="14">
        <v>315</v>
      </c>
      <c r="I213" s="14">
        <v>4168</v>
      </c>
      <c r="J213" s="14">
        <v>3399</v>
      </c>
      <c r="K213" s="14">
        <v>282</v>
      </c>
      <c r="L213" s="4" t="s">
        <v>62</v>
      </c>
      <c r="M213" s="5" t="s">
        <v>25</v>
      </c>
      <c r="N213" s="17" t="s">
        <v>62</v>
      </c>
      <c r="Q213" s="25">
        <f>(F213+G213+H213)/I213</f>
        <v>0.37955854126679461</v>
      </c>
      <c r="R213" s="15">
        <f t="shared" si="3"/>
        <v>1582</v>
      </c>
      <c r="T213">
        <v>19</v>
      </c>
      <c r="U213" s="9" t="s">
        <v>37</v>
      </c>
      <c r="V213">
        <f>RANK(T213, T:T)</f>
        <v>319</v>
      </c>
      <c r="W213"/>
      <c r="X213">
        <v>1813</v>
      </c>
      <c r="Y213">
        <v>72</v>
      </c>
      <c r="Z213" s="9" t="s">
        <v>37</v>
      </c>
      <c r="AA213">
        <f>X213+Y213</f>
        <v>1885</v>
      </c>
    </row>
    <row r="214" spans="1:27" ht="14.4" x14ac:dyDescent="0.3">
      <c r="A214" s="3" t="s">
        <v>433</v>
      </c>
      <c r="B214" s="3" t="s">
        <v>43</v>
      </c>
      <c r="C214" s="11" t="s">
        <v>434</v>
      </c>
      <c r="D214" s="3" t="s">
        <v>52</v>
      </c>
      <c r="E214" s="21" t="s">
        <v>59</v>
      </c>
      <c r="F214" s="14">
        <v>4872</v>
      </c>
      <c r="G214" s="14">
        <v>925</v>
      </c>
      <c r="H214" s="14">
        <v>176</v>
      </c>
      <c r="I214" s="14">
        <v>82824</v>
      </c>
      <c r="J214" s="14">
        <v>82543</v>
      </c>
      <c r="K214" s="14">
        <v>89</v>
      </c>
      <c r="L214" s="4" t="s">
        <v>37</v>
      </c>
      <c r="M214" s="5" t="s">
        <v>25</v>
      </c>
      <c r="N214" s="17" t="s">
        <v>37</v>
      </c>
      <c r="Q214" s="25">
        <f>(F214+G214+H214)/I214</f>
        <v>7.2116777745580993E-2</v>
      </c>
      <c r="R214" s="15">
        <f t="shared" si="3"/>
        <v>5973</v>
      </c>
      <c r="T214">
        <v>158</v>
      </c>
      <c r="U214" s="9" t="s">
        <v>30</v>
      </c>
      <c r="V214">
        <f>RANK(T214, T:T)</f>
        <v>167</v>
      </c>
      <c r="W214"/>
      <c r="X214">
        <v>4782</v>
      </c>
      <c r="Y214">
        <v>82</v>
      </c>
      <c r="Z214" s="9" t="s">
        <v>37</v>
      </c>
      <c r="AA214">
        <f>X214+Y214</f>
        <v>4864</v>
      </c>
    </row>
    <row r="215" spans="1:27" ht="14.4" x14ac:dyDescent="0.3">
      <c r="A215" s="3" t="s">
        <v>435</v>
      </c>
      <c r="B215" s="3" t="s">
        <v>27</v>
      </c>
      <c r="C215" s="11" t="s">
        <v>267</v>
      </c>
      <c r="D215" s="3" t="s">
        <v>35</v>
      </c>
      <c r="E215" s="21" t="s">
        <v>154</v>
      </c>
      <c r="F215" s="14">
        <v>1509</v>
      </c>
      <c r="G215" s="14">
        <v>88</v>
      </c>
      <c r="H215" s="14">
        <v>163</v>
      </c>
      <c r="I215" s="14">
        <v>30180</v>
      </c>
      <c r="J215" s="14">
        <v>29689</v>
      </c>
      <c r="K215" s="14">
        <v>119</v>
      </c>
      <c r="L215" s="4" t="s">
        <v>37</v>
      </c>
      <c r="M215" s="5" t="s">
        <v>25</v>
      </c>
      <c r="N215" s="17" t="s">
        <v>37</v>
      </c>
      <c r="Q215" s="25">
        <f>(F215+G215+H215)/I215</f>
        <v>5.8316766070245198E-2</v>
      </c>
      <c r="R215" s="15">
        <f t="shared" si="3"/>
        <v>1760</v>
      </c>
      <c r="T215">
        <v>277</v>
      </c>
      <c r="U215" s="9" t="s">
        <v>30</v>
      </c>
      <c r="V215">
        <f>RANK(T215, T:T)</f>
        <v>22</v>
      </c>
      <c r="W215"/>
      <c r="X215">
        <v>1048</v>
      </c>
      <c r="Y215">
        <v>450</v>
      </c>
      <c r="Z215" s="9" t="s">
        <v>30</v>
      </c>
      <c r="AA215">
        <f>X215+Y215</f>
        <v>1498</v>
      </c>
    </row>
    <row r="216" spans="1:27" ht="14.4" x14ac:dyDescent="0.3">
      <c r="A216" s="3" t="s">
        <v>436</v>
      </c>
      <c r="B216" s="3" t="s">
        <v>43</v>
      </c>
      <c r="C216" s="11" t="s">
        <v>360</v>
      </c>
      <c r="D216" s="3" t="s">
        <v>52</v>
      </c>
      <c r="E216" s="21" t="s">
        <v>59</v>
      </c>
      <c r="F216" s="14">
        <v>4606</v>
      </c>
      <c r="G216" s="14">
        <v>931</v>
      </c>
      <c r="H216" s="14">
        <v>230</v>
      </c>
      <c r="I216" s="14">
        <v>92120</v>
      </c>
      <c r="J216" s="14">
        <v>91440</v>
      </c>
      <c r="K216" s="14">
        <v>56</v>
      </c>
      <c r="L216" s="4" t="s">
        <v>30</v>
      </c>
      <c r="M216" s="5"/>
      <c r="N216" s="17" t="s">
        <v>30</v>
      </c>
      <c r="Q216" s="25">
        <f>(F216+G216+H216)/I216</f>
        <v>6.2603126356925748E-2</v>
      </c>
      <c r="R216" s="15">
        <f t="shared" si="3"/>
        <v>5767</v>
      </c>
      <c r="T216">
        <v>233</v>
      </c>
      <c r="U216" s="9" t="s">
        <v>30</v>
      </c>
      <c r="V216">
        <f>RANK(T216, T:T)</f>
        <v>76</v>
      </c>
      <c r="W216"/>
      <c r="X216">
        <v>2509</v>
      </c>
      <c r="Y216">
        <v>171</v>
      </c>
      <c r="Z216" s="9" t="s">
        <v>30</v>
      </c>
      <c r="AA216">
        <f>X216+Y216</f>
        <v>2680</v>
      </c>
    </row>
    <row r="217" spans="1:27" ht="14.4" x14ac:dyDescent="0.3">
      <c r="A217" s="3" t="s">
        <v>437</v>
      </c>
      <c r="B217" s="3" t="s">
        <v>43</v>
      </c>
      <c r="C217" s="11" t="s">
        <v>253</v>
      </c>
      <c r="D217" s="3" t="s">
        <v>45</v>
      </c>
      <c r="E217" s="21" t="s">
        <v>46</v>
      </c>
      <c r="F217" s="14">
        <v>1869</v>
      </c>
      <c r="G217" s="14">
        <v>453</v>
      </c>
      <c r="H217" s="14">
        <v>490</v>
      </c>
      <c r="I217" s="14">
        <v>14952</v>
      </c>
      <c r="J217" s="14">
        <v>14309</v>
      </c>
      <c r="K217" s="14">
        <v>275</v>
      </c>
      <c r="L217" s="4" t="s">
        <v>30</v>
      </c>
      <c r="M217" s="5" t="s">
        <v>38</v>
      </c>
      <c r="N217" s="17" t="s">
        <v>30</v>
      </c>
      <c r="Q217" s="25">
        <f>(F217+G217+H217)/I217</f>
        <v>0.18806848582129482</v>
      </c>
      <c r="R217" s="15">
        <f t="shared" si="3"/>
        <v>2812</v>
      </c>
      <c r="T217">
        <v>49</v>
      </c>
      <c r="U217" s="9" t="s">
        <v>37</v>
      </c>
      <c r="V217">
        <f>RANK(T217, T:T)</f>
        <v>277</v>
      </c>
      <c r="W217"/>
      <c r="X217">
        <v>3718</v>
      </c>
      <c r="Y217">
        <v>310</v>
      </c>
      <c r="Z217" s="9" t="s">
        <v>30</v>
      </c>
      <c r="AA217">
        <f>X217+Y217</f>
        <v>4028</v>
      </c>
    </row>
    <row r="218" spans="1:27" ht="14.4" x14ac:dyDescent="0.3">
      <c r="A218" s="3" t="s">
        <v>438</v>
      </c>
      <c r="B218" s="3" t="s">
        <v>14</v>
      </c>
      <c r="C218" s="11" t="s">
        <v>174</v>
      </c>
      <c r="D218" s="3" t="s">
        <v>16</v>
      </c>
      <c r="E218" s="21" t="s">
        <v>17</v>
      </c>
      <c r="F218" s="14">
        <v>1188</v>
      </c>
      <c r="G218" s="14">
        <v>470</v>
      </c>
      <c r="H218" s="14">
        <v>174</v>
      </c>
      <c r="I218" s="14">
        <v>7128</v>
      </c>
      <c r="J218" s="14">
        <v>6145</v>
      </c>
      <c r="K218" s="14">
        <v>270</v>
      </c>
      <c r="L218" s="4" t="s">
        <v>30</v>
      </c>
      <c r="M218" s="5" t="s">
        <v>38</v>
      </c>
      <c r="N218" s="17" t="s">
        <v>30</v>
      </c>
      <c r="Q218" s="25">
        <f>(F218+G218+H218)/I218</f>
        <v>0.25701459034792368</v>
      </c>
      <c r="R218" s="15">
        <f t="shared" si="3"/>
        <v>1832</v>
      </c>
      <c r="T218">
        <v>288</v>
      </c>
      <c r="U218" s="9" t="s">
        <v>37</v>
      </c>
      <c r="V218">
        <f>RANK(T218, T:T)</f>
        <v>11</v>
      </c>
      <c r="W218"/>
      <c r="X218">
        <v>802</v>
      </c>
      <c r="Y218">
        <v>244</v>
      </c>
      <c r="Z218" s="9" t="s">
        <v>37</v>
      </c>
      <c r="AA218">
        <f>X218+Y218</f>
        <v>1046</v>
      </c>
    </row>
    <row r="219" spans="1:27" ht="14.4" x14ac:dyDescent="0.3">
      <c r="A219" s="3" t="s">
        <v>439</v>
      </c>
      <c r="B219" s="3" t="s">
        <v>33</v>
      </c>
      <c r="C219" s="11" t="s">
        <v>414</v>
      </c>
      <c r="D219" s="3" t="s">
        <v>35</v>
      </c>
      <c r="E219" s="21" t="s">
        <v>36</v>
      </c>
      <c r="F219" s="14">
        <v>84</v>
      </c>
      <c r="G219" s="14">
        <v>897</v>
      </c>
      <c r="H219" s="14">
        <v>85</v>
      </c>
      <c r="I219" s="14">
        <v>588</v>
      </c>
      <c r="J219" s="14">
        <v>8</v>
      </c>
      <c r="K219" s="14">
        <v>12</v>
      </c>
      <c r="L219" s="4" t="s">
        <v>37</v>
      </c>
      <c r="M219" s="5"/>
      <c r="N219" s="17" t="s">
        <v>37</v>
      </c>
      <c r="Q219" s="25">
        <f>(F219+G219+H219)/I219</f>
        <v>1.8129251700680271</v>
      </c>
      <c r="R219" s="15">
        <f t="shared" si="3"/>
        <v>1066</v>
      </c>
      <c r="T219">
        <v>286</v>
      </c>
      <c r="U219" s="9" t="s">
        <v>62</v>
      </c>
      <c r="V219">
        <f>RANK(T219, T:T)</f>
        <v>13</v>
      </c>
      <c r="W219"/>
      <c r="X219">
        <v>1871</v>
      </c>
      <c r="Y219">
        <v>335</v>
      </c>
      <c r="Z219" s="9" t="s">
        <v>37</v>
      </c>
      <c r="AA219">
        <f>X219+Y219</f>
        <v>2206</v>
      </c>
    </row>
    <row r="220" spans="1:27" ht="14.4" x14ac:dyDescent="0.3">
      <c r="A220" s="3" t="s">
        <v>440</v>
      </c>
      <c r="B220" s="3" t="s">
        <v>43</v>
      </c>
      <c r="C220" s="11" t="s">
        <v>255</v>
      </c>
      <c r="D220" s="3" t="s">
        <v>74</v>
      </c>
      <c r="E220" s="21" t="s">
        <v>75</v>
      </c>
      <c r="F220" s="14">
        <v>4453</v>
      </c>
      <c r="G220" s="14">
        <v>111</v>
      </c>
      <c r="H220" s="14">
        <v>420</v>
      </c>
      <c r="I220" s="14">
        <v>31171</v>
      </c>
      <c r="J220" s="14">
        <v>30565</v>
      </c>
      <c r="K220" s="14">
        <v>23</v>
      </c>
      <c r="L220" s="4" t="s">
        <v>30</v>
      </c>
      <c r="M220" s="5"/>
      <c r="N220" s="17" t="s">
        <v>30</v>
      </c>
      <c r="Q220" s="25">
        <f>(F220+G220+H220)/I220</f>
        <v>0.15989220750056141</v>
      </c>
      <c r="R220" s="15">
        <f t="shared" si="3"/>
        <v>4984</v>
      </c>
      <c r="T220">
        <v>198</v>
      </c>
      <c r="U220" s="9" t="s">
        <v>62</v>
      </c>
      <c r="V220">
        <f>RANK(T220, T:T)</f>
        <v>123</v>
      </c>
      <c r="W220"/>
      <c r="X220">
        <v>3773</v>
      </c>
      <c r="Y220">
        <v>38</v>
      </c>
      <c r="Z220" s="9" t="s">
        <v>62</v>
      </c>
      <c r="AA220">
        <f>X220+Y220</f>
        <v>3811</v>
      </c>
    </row>
    <row r="221" spans="1:27" ht="14.4" x14ac:dyDescent="0.3">
      <c r="A221" s="3" t="s">
        <v>441</v>
      </c>
      <c r="B221" s="3" t="s">
        <v>43</v>
      </c>
      <c r="C221" s="11" t="s">
        <v>442</v>
      </c>
      <c r="D221" s="3" t="s">
        <v>16</v>
      </c>
      <c r="E221" s="21" t="s">
        <v>65</v>
      </c>
      <c r="F221" s="14">
        <v>1814</v>
      </c>
      <c r="G221" s="14">
        <v>653</v>
      </c>
      <c r="H221" s="14">
        <v>363</v>
      </c>
      <c r="I221" s="14">
        <v>25396</v>
      </c>
      <c r="J221" s="14">
        <v>25286</v>
      </c>
      <c r="K221" s="14">
        <v>39</v>
      </c>
      <c r="L221" s="4" t="s">
        <v>443</v>
      </c>
      <c r="M221" s="5" t="s">
        <v>19</v>
      </c>
      <c r="N221" s="17" t="s">
        <v>62</v>
      </c>
      <c r="O221" s="17" t="s">
        <v>588</v>
      </c>
      <c r="Q221" s="25">
        <f>(F221+G221+H221)/I221</f>
        <v>0.11143487163332809</v>
      </c>
      <c r="R221" s="15">
        <f t="shared" si="3"/>
        <v>2830</v>
      </c>
      <c r="T221">
        <v>171</v>
      </c>
      <c r="U221" s="9" t="s">
        <v>30</v>
      </c>
      <c r="V221">
        <f>RANK(T221, T:T)</f>
        <v>153</v>
      </c>
      <c r="W221"/>
      <c r="X221">
        <v>2234</v>
      </c>
      <c r="Y221">
        <v>432</v>
      </c>
      <c r="Z221" s="9" t="s">
        <v>62</v>
      </c>
      <c r="AA221">
        <f>X221+Y221</f>
        <v>2666</v>
      </c>
    </row>
    <row r="222" spans="1:27" ht="14.4" x14ac:dyDescent="0.3">
      <c r="A222" s="3" t="s">
        <v>444</v>
      </c>
      <c r="B222" s="3" t="s">
        <v>14</v>
      </c>
      <c r="C222" s="11" t="s">
        <v>358</v>
      </c>
      <c r="D222" s="3" t="s">
        <v>52</v>
      </c>
      <c r="E222" s="21" t="s">
        <v>132</v>
      </c>
      <c r="F222" s="14">
        <v>3338</v>
      </c>
      <c r="G222" s="14">
        <v>277</v>
      </c>
      <c r="H222" s="14">
        <v>118</v>
      </c>
      <c r="I222" s="14">
        <v>60084</v>
      </c>
      <c r="J222" s="14">
        <v>59842</v>
      </c>
      <c r="K222" s="14">
        <v>252</v>
      </c>
      <c r="L222" s="4" t="s">
        <v>30</v>
      </c>
      <c r="M222" s="5"/>
      <c r="N222" s="17" t="s">
        <v>30</v>
      </c>
      <c r="Q222" s="25">
        <f>(F222+G222+H222)/I222</f>
        <v>6.2129685107516146E-2</v>
      </c>
      <c r="R222" s="15">
        <f t="shared" si="3"/>
        <v>3733</v>
      </c>
      <c r="T222">
        <v>171</v>
      </c>
      <c r="U222" s="9" t="s">
        <v>588</v>
      </c>
      <c r="V222">
        <f>RANK(T222, T:T)</f>
        <v>153</v>
      </c>
      <c r="W222"/>
      <c r="X222">
        <v>3820</v>
      </c>
      <c r="Y222">
        <v>268</v>
      </c>
      <c r="Z222" s="9" t="s">
        <v>30</v>
      </c>
      <c r="AA222">
        <f>X222+Y222</f>
        <v>4088</v>
      </c>
    </row>
    <row r="223" spans="1:27" ht="14.4" x14ac:dyDescent="0.3">
      <c r="A223" s="3" t="s">
        <v>445</v>
      </c>
      <c r="B223" s="3" t="s">
        <v>43</v>
      </c>
      <c r="C223" s="11" t="s">
        <v>446</v>
      </c>
      <c r="D223" s="3" t="s">
        <v>52</v>
      </c>
      <c r="E223" s="21" t="s">
        <v>59</v>
      </c>
      <c r="F223" s="14">
        <v>602</v>
      </c>
      <c r="G223" s="14">
        <v>594</v>
      </c>
      <c r="H223" s="14">
        <v>156</v>
      </c>
      <c r="I223" s="14">
        <v>4214</v>
      </c>
      <c r="J223" s="14">
        <v>3363</v>
      </c>
      <c r="K223" s="14">
        <v>164</v>
      </c>
      <c r="L223" s="4" t="s">
        <v>30</v>
      </c>
      <c r="M223" s="5" t="s">
        <v>31</v>
      </c>
      <c r="N223" s="17" t="s">
        <v>30</v>
      </c>
      <c r="Q223" s="25">
        <f>(F223+G223+H223)/I223</f>
        <v>0.32083531086853345</v>
      </c>
      <c r="R223" s="15">
        <f t="shared" si="3"/>
        <v>1352</v>
      </c>
      <c r="T223">
        <v>87</v>
      </c>
      <c r="U223" s="9" t="s">
        <v>37</v>
      </c>
      <c r="V223">
        <f>RANK(T223, T:T)</f>
        <v>240</v>
      </c>
      <c r="W223"/>
      <c r="X223">
        <v>3820</v>
      </c>
      <c r="Y223">
        <v>268</v>
      </c>
      <c r="Z223" s="9" t="s">
        <v>588</v>
      </c>
      <c r="AA223">
        <f>X223+Y223</f>
        <v>4088</v>
      </c>
    </row>
    <row r="224" spans="1:27" ht="14.4" x14ac:dyDescent="0.3">
      <c r="A224" s="3" t="s">
        <v>447</v>
      </c>
      <c r="B224" s="3" t="s">
        <v>14</v>
      </c>
      <c r="C224" s="11" t="s">
        <v>373</v>
      </c>
      <c r="D224" s="3" t="s">
        <v>45</v>
      </c>
      <c r="E224" s="21" t="s">
        <v>49</v>
      </c>
      <c r="F224" s="14">
        <v>4672</v>
      </c>
      <c r="G224" s="14">
        <v>325</v>
      </c>
      <c r="H224" s="14">
        <v>32</v>
      </c>
      <c r="I224" s="14">
        <v>88768</v>
      </c>
      <c r="J224" s="14">
        <v>87833</v>
      </c>
      <c r="K224" s="14">
        <v>118</v>
      </c>
      <c r="L224" s="4" t="s">
        <v>37</v>
      </c>
      <c r="M224" s="5"/>
      <c r="N224" s="17" t="s">
        <v>37</v>
      </c>
      <c r="Q224" s="25">
        <f>(F224+G224+H224)/I224</f>
        <v>5.6653298485940883E-2</v>
      </c>
      <c r="R224" s="15">
        <f t="shared" si="3"/>
        <v>5029</v>
      </c>
      <c r="T224">
        <v>129</v>
      </c>
      <c r="U224" s="9" t="s">
        <v>30</v>
      </c>
      <c r="V224">
        <f>RANK(T224, T:T)</f>
        <v>196</v>
      </c>
      <c r="W224"/>
      <c r="X224">
        <v>941</v>
      </c>
      <c r="Y224">
        <v>458</v>
      </c>
      <c r="Z224" s="9" t="s">
        <v>37</v>
      </c>
      <c r="AA224">
        <f>X224+Y224</f>
        <v>1399</v>
      </c>
    </row>
    <row r="225" spans="1:27" ht="14.4" x14ac:dyDescent="0.3">
      <c r="A225" s="3" t="s">
        <v>448</v>
      </c>
      <c r="B225" s="3" t="s">
        <v>33</v>
      </c>
      <c r="C225" s="11" t="s">
        <v>449</v>
      </c>
      <c r="D225" s="3" t="s">
        <v>45</v>
      </c>
      <c r="E225" s="21" t="s">
        <v>88</v>
      </c>
      <c r="F225" s="14">
        <v>1741</v>
      </c>
      <c r="G225" s="14">
        <v>164</v>
      </c>
      <c r="H225" s="14">
        <v>318</v>
      </c>
      <c r="I225" s="14">
        <v>8705</v>
      </c>
      <c r="J225" s="14">
        <v>8272</v>
      </c>
      <c r="K225" s="14">
        <v>121</v>
      </c>
      <c r="L225" s="4" t="s">
        <v>30</v>
      </c>
      <c r="M225" s="5"/>
      <c r="N225" s="17" t="s">
        <v>30</v>
      </c>
      <c r="Q225" s="25">
        <f>(F225+G225+H225)/I225</f>
        <v>0.25537047673750718</v>
      </c>
      <c r="R225" s="15">
        <f t="shared" si="3"/>
        <v>2223</v>
      </c>
      <c r="T225">
        <v>129</v>
      </c>
      <c r="U225" s="9" t="s">
        <v>588</v>
      </c>
      <c r="V225">
        <f>RANK(T225, T:T)</f>
        <v>196</v>
      </c>
      <c r="W225"/>
      <c r="X225">
        <v>4274</v>
      </c>
      <c r="Y225">
        <v>281</v>
      </c>
      <c r="Z225" s="9" t="s">
        <v>30</v>
      </c>
      <c r="AA225">
        <f>X225+Y225</f>
        <v>4555</v>
      </c>
    </row>
    <row r="226" spans="1:27" ht="14.4" x14ac:dyDescent="0.3">
      <c r="A226" s="3" t="s">
        <v>450</v>
      </c>
      <c r="B226" s="3" t="s">
        <v>33</v>
      </c>
      <c r="C226" s="11" t="s">
        <v>451</v>
      </c>
      <c r="D226" s="3" t="s">
        <v>22</v>
      </c>
      <c r="E226" s="21" t="s">
        <v>113</v>
      </c>
      <c r="F226" s="14">
        <v>246</v>
      </c>
      <c r="G226" s="14">
        <v>149</v>
      </c>
      <c r="H226" s="14">
        <v>130</v>
      </c>
      <c r="I226" s="14">
        <v>4674</v>
      </c>
      <c r="J226" s="14">
        <v>4390</v>
      </c>
      <c r="K226" s="14">
        <v>217</v>
      </c>
      <c r="L226" s="4" t="s">
        <v>62</v>
      </c>
      <c r="M226" s="5" t="s">
        <v>31</v>
      </c>
      <c r="N226" s="17" t="s">
        <v>62</v>
      </c>
      <c r="Q226" s="25">
        <f>(F226+G226+H226)/I226</f>
        <v>0.11232349165596919</v>
      </c>
      <c r="R226" s="15">
        <f t="shared" si="3"/>
        <v>525</v>
      </c>
      <c r="T226">
        <v>135</v>
      </c>
      <c r="U226" s="9" t="s">
        <v>30</v>
      </c>
      <c r="V226">
        <f>RANK(T226, T:T)</f>
        <v>189</v>
      </c>
      <c r="W226"/>
      <c r="X226">
        <v>4274</v>
      </c>
      <c r="Y226">
        <v>281</v>
      </c>
      <c r="Z226" s="9" t="s">
        <v>588</v>
      </c>
      <c r="AA226">
        <f>X226+Y226</f>
        <v>4555</v>
      </c>
    </row>
    <row r="227" spans="1:27" ht="14.4" x14ac:dyDescent="0.3">
      <c r="A227" s="3" t="s">
        <v>452</v>
      </c>
      <c r="B227" s="3" t="s">
        <v>33</v>
      </c>
      <c r="C227" s="11" t="s">
        <v>453</v>
      </c>
      <c r="D227" s="3" t="s">
        <v>35</v>
      </c>
      <c r="E227" s="21" t="s">
        <v>36</v>
      </c>
      <c r="F227" s="14">
        <v>4808</v>
      </c>
      <c r="G227" s="14">
        <v>772</v>
      </c>
      <c r="H227" s="14">
        <v>320</v>
      </c>
      <c r="I227" s="14">
        <v>72120</v>
      </c>
      <c r="J227" s="14">
        <v>71696</v>
      </c>
      <c r="K227" s="14">
        <v>195</v>
      </c>
      <c r="L227" s="4" t="s">
        <v>37</v>
      </c>
      <c r="M227" s="5" t="s">
        <v>19</v>
      </c>
      <c r="N227" s="17" t="s">
        <v>37</v>
      </c>
      <c r="Q227" s="25">
        <f>(F227+G227+H227)/I227</f>
        <v>8.1808097615085965E-2</v>
      </c>
      <c r="R227" s="15">
        <f t="shared" si="3"/>
        <v>5900</v>
      </c>
      <c r="T227">
        <v>49</v>
      </c>
      <c r="U227" s="9" t="s">
        <v>62</v>
      </c>
      <c r="V227">
        <f>RANK(T227, T:T)</f>
        <v>277</v>
      </c>
      <c r="W227"/>
      <c r="X227">
        <v>2949</v>
      </c>
      <c r="Y227">
        <v>403</v>
      </c>
      <c r="Z227" s="9" t="s">
        <v>30</v>
      </c>
      <c r="AA227">
        <f>X227+Y227</f>
        <v>3352</v>
      </c>
    </row>
    <row r="228" spans="1:27" ht="14.4" x14ac:dyDescent="0.3">
      <c r="A228" s="3" t="s">
        <v>454</v>
      </c>
      <c r="B228" s="3" t="s">
        <v>33</v>
      </c>
      <c r="C228" s="11" t="s">
        <v>153</v>
      </c>
      <c r="D228" s="3" t="s">
        <v>45</v>
      </c>
      <c r="E228" s="21" t="s">
        <v>88</v>
      </c>
      <c r="F228" s="14">
        <v>4799</v>
      </c>
      <c r="G228" s="14">
        <v>694</v>
      </c>
      <c r="H228" s="14">
        <v>289</v>
      </c>
      <c r="I228" s="14">
        <v>43191</v>
      </c>
      <c r="J228" s="14">
        <v>42228</v>
      </c>
      <c r="K228" s="14">
        <v>118</v>
      </c>
      <c r="L228" s="4" t="s">
        <v>30</v>
      </c>
      <c r="M228" s="5"/>
      <c r="N228" s="17" t="s">
        <v>30</v>
      </c>
      <c r="Q228" s="25">
        <f>(F228+G228+H228)/I228</f>
        <v>0.13387048227640017</v>
      </c>
      <c r="R228" s="15">
        <f t="shared" si="3"/>
        <v>5782</v>
      </c>
      <c r="T228">
        <v>49</v>
      </c>
      <c r="U228" s="9" t="s">
        <v>593</v>
      </c>
      <c r="V228">
        <f>RANK(T228, T:T)</f>
        <v>277</v>
      </c>
      <c r="W228"/>
      <c r="X228">
        <v>3160</v>
      </c>
      <c r="Y228">
        <v>297</v>
      </c>
      <c r="Z228" s="9" t="s">
        <v>62</v>
      </c>
      <c r="AA228">
        <f>X228+Y228</f>
        <v>3457</v>
      </c>
    </row>
    <row r="229" spans="1:27" ht="14.4" x14ac:dyDescent="0.3">
      <c r="A229" s="3" t="s">
        <v>455</v>
      </c>
      <c r="B229" s="3" t="s">
        <v>43</v>
      </c>
      <c r="C229" s="11" t="s">
        <v>313</v>
      </c>
      <c r="D229" s="3" t="s">
        <v>16</v>
      </c>
      <c r="E229" s="21" t="s">
        <v>65</v>
      </c>
      <c r="F229" s="14">
        <v>3663</v>
      </c>
      <c r="G229" s="14">
        <v>17</v>
      </c>
      <c r="H229" s="14">
        <v>295</v>
      </c>
      <c r="I229" s="14">
        <v>51282</v>
      </c>
      <c r="J229" s="14">
        <v>50567</v>
      </c>
      <c r="K229" s="14">
        <v>84</v>
      </c>
      <c r="L229" s="4" t="s">
        <v>37</v>
      </c>
      <c r="M229" s="5" t="s">
        <v>31</v>
      </c>
      <c r="N229" s="17" t="s">
        <v>37</v>
      </c>
      <c r="Q229" s="25">
        <f>(F229+G229+H229)/I229</f>
        <v>7.7512577512577507E-2</v>
      </c>
      <c r="R229" s="15">
        <f t="shared" si="3"/>
        <v>3975</v>
      </c>
      <c r="T229">
        <v>287</v>
      </c>
      <c r="U229" s="9" t="s">
        <v>62</v>
      </c>
      <c r="V229">
        <f>RANK(T229, T:T)</f>
        <v>12</v>
      </c>
      <c r="W229"/>
      <c r="X229">
        <v>3160</v>
      </c>
      <c r="Y229">
        <v>297</v>
      </c>
      <c r="Z229" s="9" t="s">
        <v>593</v>
      </c>
      <c r="AA229">
        <f>X229+Y229</f>
        <v>3457</v>
      </c>
    </row>
    <row r="230" spans="1:27" ht="14.4" x14ac:dyDescent="0.3">
      <c r="A230" s="3" t="s">
        <v>456</v>
      </c>
      <c r="B230" s="3" t="s">
        <v>33</v>
      </c>
      <c r="C230" s="11" t="s">
        <v>431</v>
      </c>
      <c r="D230" s="3" t="s">
        <v>22</v>
      </c>
      <c r="E230" s="21" t="s">
        <v>113</v>
      </c>
      <c r="F230" s="14">
        <v>1430</v>
      </c>
      <c r="G230" s="14">
        <v>376</v>
      </c>
      <c r="H230" s="14">
        <v>33</v>
      </c>
      <c r="I230" s="14">
        <v>21450</v>
      </c>
      <c r="J230" s="14">
        <v>20509</v>
      </c>
      <c r="K230" s="14">
        <v>251</v>
      </c>
      <c r="L230" s="4" t="s">
        <v>62</v>
      </c>
      <c r="M230" s="5" t="s">
        <v>19</v>
      </c>
      <c r="N230" s="17" t="s">
        <v>62</v>
      </c>
      <c r="Q230" s="25">
        <f>(F230+G230+H230)/I230</f>
        <v>8.5734265734265735E-2</v>
      </c>
      <c r="R230" s="15">
        <f t="shared" si="3"/>
        <v>1839</v>
      </c>
      <c r="T230">
        <v>21</v>
      </c>
      <c r="U230" s="9" t="s">
        <v>62</v>
      </c>
      <c r="V230">
        <f>RANK(T230, T:T)</f>
        <v>314</v>
      </c>
      <c r="W230"/>
      <c r="X230">
        <v>257</v>
      </c>
      <c r="Y230">
        <v>398</v>
      </c>
      <c r="Z230" s="9" t="s">
        <v>62</v>
      </c>
      <c r="AA230">
        <f>X230+Y230</f>
        <v>655</v>
      </c>
    </row>
    <row r="231" spans="1:27" ht="14.4" x14ac:dyDescent="0.3">
      <c r="A231" s="3" t="s">
        <v>457</v>
      </c>
      <c r="B231" s="3" t="s">
        <v>14</v>
      </c>
      <c r="C231" s="11" t="s">
        <v>458</v>
      </c>
      <c r="D231" s="3" t="s">
        <v>35</v>
      </c>
      <c r="E231" s="21" t="s">
        <v>149</v>
      </c>
      <c r="F231" s="14">
        <v>249</v>
      </c>
      <c r="G231" s="14">
        <v>592</v>
      </c>
      <c r="H231" s="14">
        <v>230</v>
      </c>
      <c r="I231" s="14">
        <v>1494</v>
      </c>
      <c r="J231" s="14">
        <v>1044</v>
      </c>
      <c r="K231" s="14">
        <v>201</v>
      </c>
      <c r="L231" s="4" t="s">
        <v>37</v>
      </c>
      <c r="M231" s="5" t="s">
        <v>38</v>
      </c>
      <c r="N231" s="17" t="s">
        <v>37</v>
      </c>
      <c r="Q231" s="25">
        <f>(F231+G231+H231)/I231</f>
        <v>0.7168674698795181</v>
      </c>
      <c r="R231" s="15">
        <f t="shared" si="3"/>
        <v>1071</v>
      </c>
      <c r="T231">
        <v>219</v>
      </c>
      <c r="U231" s="9" t="s">
        <v>30</v>
      </c>
      <c r="V231">
        <f>RANK(T231, T:T)</f>
        <v>94</v>
      </c>
      <c r="W231"/>
      <c r="X231">
        <v>2120</v>
      </c>
      <c r="Y231">
        <v>212</v>
      </c>
      <c r="Z231" s="9" t="s">
        <v>62</v>
      </c>
      <c r="AA231">
        <f>X231+Y231</f>
        <v>2332</v>
      </c>
    </row>
    <row r="232" spans="1:27" ht="14.4" x14ac:dyDescent="0.3">
      <c r="A232" s="3" t="s">
        <v>459</v>
      </c>
      <c r="B232" s="3" t="s">
        <v>43</v>
      </c>
      <c r="C232" s="11" t="s">
        <v>134</v>
      </c>
      <c r="D232" s="3" t="s">
        <v>52</v>
      </c>
      <c r="E232" s="21" t="s">
        <v>59</v>
      </c>
      <c r="F232" s="14">
        <v>2382</v>
      </c>
      <c r="G232" s="14">
        <v>265</v>
      </c>
      <c r="H232" s="14">
        <v>134</v>
      </c>
      <c r="I232" s="14">
        <v>38112</v>
      </c>
      <c r="J232" s="14">
        <v>37437</v>
      </c>
      <c r="K232" s="14">
        <v>249</v>
      </c>
      <c r="L232" s="4" t="s">
        <v>62</v>
      </c>
      <c r="M232" s="5" t="s">
        <v>38</v>
      </c>
      <c r="N232" s="17" t="s">
        <v>62</v>
      </c>
      <c r="Q232" s="25">
        <f>(F232+G232+H232)/I232</f>
        <v>7.2969143576826198E-2</v>
      </c>
      <c r="R232" s="15">
        <f t="shared" si="3"/>
        <v>2781</v>
      </c>
      <c r="T232">
        <v>248</v>
      </c>
      <c r="U232" s="9" t="s">
        <v>37</v>
      </c>
      <c r="V232">
        <f>RANK(T232, T:T)</f>
        <v>49</v>
      </c>
      <c r="W232"/>
      <c r="X232">
        <v>3874</v>
      </c>
      <c r="Y232">
        <v>19</v>
      </c>
      <c r="Z232" s="9" t="s">
        <v>30</v>
      </c>
      <c r="AA232">
        <f>X232+Y232</f>
        <v>3893</v>
      </c>
    </row>
    <row r="233" spans="1:27" ht="14.4" x14ac:dyDescent="0.3">
      <c r="A233" s="3" t="s">
        <v>460</v>
      </c>
      <c r="B233" s="3" t="s">
        <v>43</v>
      </c>
      <c r="C233" s="11" t="s">
        <v>461</v>
      </c>
      <c r="D233" s="3" t="s">
        <v>22</v>
      </c>
      <c r="E233" s="21" t="s">
        <v>56</v>
      </c>
      <c r="F233" s="14">
        <v>1272</v>
      </c>
      <c r="G233" s="14">
        <v>465</v>
      </c>
      <c r="H233" s="14">
        <v>99</v>
      </c>
      <c r="I233" s="14">
        <v>24168</v>
      </c>
      <c r="J233" s="14">
        <v>23719</v>
      </c>
      <c r="K233" s="14">
        <v>42</v>
      </c>
      <c r="L233" s="4" t="s">
        <v>30</v>
      </c>
      <c r="M233" s="5"/>
      <c r="N233" s="17" t="s">
        <v>30</v>
      </c>
      <c r="Q233" s="25">
        <f>(F233+G233+H233)/I233</f>
        <v>7.5968222442899705E-2</v>
      </c>
      <c r="R233" s="15">
        <f t="shared" si="3"/>
        <v>1836</v>
      </c>
      <c r="T233">
        <v>282</v>
      </c>
      <c r="U233" s="9" t="s">
        <v>62</v>
      </c>
      <c r="V233">
        <f>RANK(T233, T:T)</f>
        <v>15</v>
      </c>
      <c r="W233"/>
      <c r="X233">
        <v>2696</v>
      </c>
      <c r="Y233">
        <v>443</v>
      </c>
      <c r="Z233" s="9" t="s">
        <v>37</v>
      </c>
      <c r="AA233">
        <f>X233+Y233</f>
        <v>3139</v>
      </c>
    </row>
    <row r="234" spans="1:27" ht="14.4" x14ac:dyDescent="0.3">
      <c r="A234" s="3" t="s">
        <v>462</v>
      </c>
      <c r="B234" s="3" t="s">
        <v>43</v>
      </c>
      <c r="C234" s="11" t="s">
        <v>390</v>
      </c>
      <c r="D234" s="3" t="s">
        <v>52</v>
      </c>
      <c r="E234" s="21" t="s">
        <v>59</v>
      </c>
      <c r="F234" s="14">
        <v>3196</v>
      </c>
      <c r="G234" s="14">
        <v>941</v>
      </c>
      <c r="H234" s="14">
        <v>376</v>
      </c>
      <c r="I234" s="14">
        <v>35156</v>
      </c>
      <c r="J234" s="14">
        <v>34444</v>
      </c>
      <c r="K234" s="14">
        <v>241</v>
      </c>
      <c r="L234" s="4" t="s">
        <v>30</v>
      </c>
      <c r="M234" s="5" t="s">
        <v>31</v>
      </c>
      <c r="N234" s="17" t="s">
        <v>30</v>
      </c>
      <c r="Q234" s="25">
        <f>(F234+G234+H234)/I234</f>
        <v>0.1283706906360223</v>
      </c>
      <c r="R234" s="15">
        <f t="shared" si="3"/>
        <v>4513</v>
      </c>
      <c r="T234">
        <v>89</v>
      </c>
      <c r="U234" s="9" t="s">
        <v>37</v>
      </c>
      <c r="V234">
        <f>RANK(T234, T:T)</f>
        <v>236</v>
      </c>
      <c r="W234"/>
      <c r="X234">
        <v>521</v>
      </c>
      <c r="Y234">
        <v>315</v>
      </c>
      <c r="Z234" s="9" t="s">
        <v>62</v>
      </c>
      <c r="AA234">
        <f>X234+Y234</f>
        <v>836</v>
      </c>
    </row>
    <row r="235" spans="1:27" ht="14.4" x14ac:dyDescent="0.3">
      <c r="A235" s="3" t="s">
        <v>463</v>
      </c>
      <c r="B235" s="3" t="s">
        <v>43</v>
      </c>
      <c r="C235" s="11" t="s">
        <v>81</v>
      </c>
      <c r="D235" s="3" t="s">
        <v>22</v>
      </c>
      <c r="E235" s="21" t="s">
        <v>56</v>
      </c>
      <c r="F235" s="14">
        <v>1257</v>
      </c>
      <c r="G235" s="14">
        <v>19</v>
      </c>
      <c r="H235" s="14">
        <v>351</v>
      </c>
      <c r="I235" s="14">
        <v>12570</v>
      </c>
      <c r="J235" s="14">
        <v>11660</v>
      </c>
      <c r="K235" s="14">
        <v>194</v>
      </c>
      <c r="L235" s="4" t="s">
        <v>464</v>
      </c>
      <c r="M235" s="5" t="s">
        <v>25</v>
      </c>
      <c r="N235" s="17" t="s">
        <v>62</v>
      </c>
      <c r="O235" s="17" t="s">
        <v>593</v>
      </c>
      <c r="P235" s="17" t="s">
        <v>37</v>
      </c>
      <c r="Q235" s="25">
        <f>(F235+G235+H235)/I235</f>
        <v>0.12943516308671441</v>
      </c>
      <c r="R235" s="15">
        <f t="shared" si="3"/>
        <v>1627</v>
      </c>
      <c r="T235">
        <v>119</v>
      </c>
      <c r="U235" s="9" t="s">
        <v>37</v>
      </c>
      <c r="V235">
        <f>RANK(T235, T:T)</f>
        <v>209</v>
      </c>
      <c r="W235"/>
      <c r="X235">
        <v>4872</v>
      </c>
      <c r="Y235">
        <v>176</v>
      </c>
      <c r="Z235" s="9" t="s">
        <v>37</v>
      </c>
      <c r="AA235">
        <f>X235+Y235</f>
        <v>5048</v>
      </c>
    </row>
    <row r="236" spans="1:27" ht="14.4" x14ac:dyDescent="0.3">
      <c r="A236" s="3" t="s">
        <v>465</v>
      </c>
      <c r="B236" s="3" t="s">
        <v>33</v>
      </c>
      <c r="C236" s="11" t="s">
        <v>339</v>
      </c>
      <c r="D236" s="3" t="s">
        <v>35</v>
      </c>
      <c r="E236" s="21" t="s">
        <v>36</v>
      </c>
      <c r="F236" s="14">
        <v>3770</v>
      </c>
      <c r="G236" s="14">
        <v>917</v>
      </c>
      <c r="H236" s="14">
        <v>129</v>
      </c>
      <c r="I236" s="14">
        <v>71630</v>
      </c>
      <c r="J236" s="14">
        <v>71322</v>
      </c>
      <c r="K236" s="14">
        <v>76</v>
      </c>
      <c r="L236" s="4" t="s">
        <v>62</v>
      </c>
      <c r="M236" s="5" t="s">
        <v>19</v>
      </c>
      <c r="N236" s="17" t="s">
        <v>62</v>
      </c>
      <c r="Q236" s="25">
        <f>(F236+G236+H236)/I236</f>
        <v>6.7234398994834563E-2</v>
      </c>
      <c r="R236" s="15">
        <f t="shared" si="3"/>
        <v>4816</v>
      </c>
      <c r="T236">
        <v>56</v>
      </c>
      <c r="U236" s="9" t="s">
        <v>30</v>
      </c>
      <c r="V236">
        <f>RANK(T236, T:T)</f>
        <v>270</v>
      </c>
      <c r="W236"/>
      <c r="X236">
        <v>1509</v>
      </c>
      <c r="Y236">
        <v>163</v>
      </c>
      <c r="Z236" s="9" t="s">
        <v>37</v>
      </c>
      <c r="AA236">
        <f>X236+Y236</f>
        <v>1672</v>
      </c>
    </row>
    <row r="237" spans="1:27" ht="14.4" x14ac:dyDescent="0.3">
      <c r="A237" s="3" t="s">
        <v>466</v>
      </c>
      <c r="B237" s="3" t="s">
        <v>14</v>
      </c>
      <c r="C237" s="11" t="s">
        <v>467</v>
      </c>
      <c r="D237" s="3" t="s">
        <v>22</v>
      </c>
      <c r="E237" s="21" t="s">
        <v>23</v>
      </c>
      <c r="F237" s="14">
        <v>4725</v>
      </c>
      <c r="G237" s="14">
        <v>400</v>
      </c>
      <c r="H237" s="14">
        <v>362</v>
      </c>
      <c r="I237" s="14">
        <v>75600</v>
      </c>
      <c r="J237" s="14">
        <v>74927</v>
      </c>
      <c r="K237" s="14">
        <v>43</v>
      </c>
      <c r="L237" s="4" t="s">
        <v>62</v>
      </c>
      <c r="M237" s="5" t="s">
        <v>38</v>
      </c>
      <c r="N237" s="17" t="s">
        <v>62</v>
      </c>
      <c r="Q237" s="25">
        <f>(F237+G237+H237)/I237</f>
        <v>7.2579365079365077E-2</v>
      </c>
      <c r="R237" s="15">
        <f t="shared" si="3"/>
        <v>5487</v>
      </c>
      <c r="T237">
        <v>275</v>
      </c>
      <c r="U237" s="9" t="s">
        <v>30</v>
      </c>
      <c r="V237">
        <f>RANK(T237, T:T)</f>
        <v>25</v>
      </c>
      <c r="W237"/>
      <c r="X237">
        <v>4606</v>
      </c>
      <c r="Y237">
        <v>230</v>
      </c>
      <c r="Z237" s="9" t="s">
        <v>30</v>
      </c>
      <c r="AA237">
        <f>X237+Y237</f>
        <v>4836</v>
      </c>
    </row>
    <row r="238" spans="1:27" ht="14.4" x14ac:dyDescent="0.3">
      <c r="A238" s="3" t="s">
        <v>468</v>
      </c>
      <c r="B238" s="3" t="s">
        <v>27</v>
      </c>
      <c r="C238" s="11" t="s">
        <v>147</v>
      </c>
      <c r="D238" s="3" t="s">
        <v>22</v>
      </c>
      <c r="E238" s="21" t="s">
        <v>104</v>
      </c>
      <c r="F238" s="14">
        <v>4188</v>
      </c>
      <c r="G238" s="14">
        <v>942</v>
      </c>
      <c r="H238" s="14">
        <v>118</v>
      </c>
      <c r="I238" s="14">
        <v>20940</v>
      </c>
      <c r="J238" s="14">
        <v>20471</v>
      </c>
      <c r="K238" s="14">
        <v>102</v>
      </c>
      <c r="L238" s="4" t="s">
        <v>62</v>
      </c>
      <c r="M238" s="5"/>
      <c r="N238" s="17" t="s">
        <v>62</v>
      </c>
      <c r="Q238" s="25">
        <f>(F238+G238+H238)/I238</f>
        <v>0.25062082139446035</v>
      </c>
      <c r="R238" s="15">
        <f t="shared" si="3"/>
        <v>5248</v>
      </c>
      <c r="T238">
        <v>270</v>
      </c>
      <c r="U238" s="9" t="s">
        <v>30</v>
      </c>
      <c r="V238">
        <f>RANK(T238, T:T)</f>
        <v>30</v>
      </c>
      <c r="W238"/>
      <c r="X238">
        <v>1869</v>
      </c>
      <c r="Y238">
        <v>490</v>
      </c>
      <c r="Z238" s="9" t="s">
        <v>30</v>
      </c>
      <c r="AA238">
        <f>X238+Y238</f>
        <v>2359</v>
      </c>
    </row>
    <row r="239" spans="1:27" ht="14.4" x14ac:dyDescent="0.3">
      <c r="A239" s="3" t="s">
        <v>469</v>
      </c>
      <c r="B239" s="3" t="s">
        <v>14</v>
      </c>
      <c r="C239" s="11" t="s">
        <v>77</v>
      </c>
      <c r="D239" s="3" t="s">
        <v>45</v>
      </c>
      <c r="E239" s="21" t="s">
        <v>49</v>
      </c>
      <c r="F239" s="14">
        <v>929</v>
      </c>
      <c r="G239" s="14">
        <v>192</v>
      </c>
      <c r="H239" s="14">
        <v>322</v>
      </c>
      <c r="I239" s="14">
        <v>16722</v>
      </c>
      <c r="J239" s="14">
        <v>15996</v>
      </c>
      <c r="K239" s="14">
        <v>145</v>
      </c>
      <c r="L239" s="4" t="s">
        <v>175</v>
      </c>
      <c r="M239" s="5" t="s">
        <v>31</v>
      </c>
      <c r="N239" s="17" t="s">
        <v>37</v>
      </c>
      <c r="O239" s="17" t="s">
        <v>30</v>
      </c>
      <c r="P239" s="17" t="s">
        <v>593</v>
      </c>
      <c r="Q239" s="25">
        <f>(F239+G239+H239)/I239</f>
        <v>8.6293505561535699E-2</v>
      </c>
      <c r="R239" s="15">
        <f t="shared" si="3"/>
        <v>1443</v>
      </c>
      <c r="T239">
        <v>12</v>
      </c>
      <c r="U239" s="9" t="s">
        <v>37</v>
      </c>
      <c r="V239">
        <f>RANK(T239, T:T)</f>
        <v>326</v>
      </c>
      <c r="W239"/>
      <c r="X239">
        <v>1188</v>
      </c>
      <c r="Y239">
        <v>174</v>
      </c>
      <c r="Z239" s="9" t="s">
        <v>30</v>
      </c>
      <c r="AA239">
        <f>X239+Y239</f>
        <v>1362</v>
      </c>
    </row>
    <row r="240" spans="1:27" ht="14.4" x14ac:dyDescent="0.3">
      <c r="A240" s="3" t="s">
        <v>470</v>
      </c>
      <c r="B240" s="3" t="s">
        <v>43</v>
      </c>
      <c r="C240" s="11" t="s">
        <v>471</v>
      </c>
      <c r="D240" s="3" t="s">
        <v>35</v>
      </c>
      <c r="E240" s="21" t="s">
        <v>71</v>
      </c>
      <c r="F240" s="14">
        <v>4321</v>
      </c>
      <c r="G240" s="14">
        <v>874</v>
      </c>
      <c r="H240" s="14">
        <v>172</v>
      </c>
      <c r="I240" s="14">
        <v>30247</v>
      </c>
      <c r="J240" s="14">
        <v>29254</v>
      </c>
      <c r="K240" s="14">
        <v>122</v>
      </c>
      <c r="L240" s="4" t="s">
        <v>30</v>
      </c>
      <c r="M240" s="5" t="s">
        <v>38</v>
      </c>
      <c r="N240" s="17" t="s">
        <v>30</v>
      </c>
      <c r="Q240" s="25">
        <f>(F240+G240+H240)/I240</f>
        <v>0.17743908486792079</v>
      </c>
      <c r="R240" s="15">
        <f t="shared" si="3"/>
        <v>5367</v>
      </c>
      <c r="T240">
        <v>23</v>
      </c>
      <c r="U240" s="9" t="s">
        <v>30</v>
      </c>
      <c r="V240">
        <f>RANK(T240, T:T)</f>
        <v>312</v>
      </c>
      <c r="W240"/>
      <c r="X240">
        <v>84</v>
      </c>
      <c r="Y240">
        <v>85</v>
      </c>
      <c r="Z240" s="9" t="s">
        <v>37</v>
      </c>
      <c r="AA240">
        <f>X240+Y240</f>
        <v>169</v>
      </c>
    </row>
    <row r="241" spans="1:27" ht="14.4" x14ac:dyDescent="0.3">
      <c r="A241" s="3" t="s">
        <v>472</v>
      </c>
      <c r="B241" s="3" t="s">
        <v>43</v>
      </c>
      <c r="C241" s="11" t="s">
        <v>228</v>
      </c>
      <c r="D241" s="3" t="s">
        <v>16</v>
      </c>
      <c r="E241" s="21" t="s">
        <v>65</v>
      </c>
      <c r="F241" s="14">
        <v>4767</v>
      </c>
      <c r="G241" s="14">
        <v>190</v>
      </c>
      <c r="H241" s="14">
        <v>340</v>
      </c>
      <c r="I241" s="14">
        <v>28602</v>
      </c>
      <c r="J241" s="14">
        <v>28044</v>
      </c>
      <c r="K241" s="14">
        <v>210</v>
      </c>
      <c r="L241" s="4" t="s">
        <v>37</v>
      </c>
      <c r="M241" s="5" t="s">
        <v>31</v>
      </c>
      <c r="N241" s="17" t="s">
        <v>37</v>
      </c>
      <c r="Q241" s="25">
        <f>(F241+G241+H241)/I241</f>
        <v>0.18519683938186141</v>
      </c>
      <c r="R241" s="15">
        <f t="shared" si="3"/>
        <v>5297</v>
      </c>
      <c r="T241">
        <v>39</v>
      </c>
      <c r="U241" s="9" t="s">
        <v>62</v>
      </c>
      <c r="V241">
        <f>RANK(T241, T:T)</f>
        <v>290</v>
      </c>
      <c r="W241"/>
      <c r="X241">
        <v>4453</v>
      </c>
      <c r="Y241">
        <v>420</v>
      </c>
      <c r="Z241" s="9" t="s">
        <v>30</v>
      </c>
      <c r="AA241">
        <f>X241+Y241</f>
        <v>4873</v>
      </c>
    </row>
    <row r="242" spans="1:27" ht="14.4" x14ac:dyDescent="0.3">
      <c r="A242" s="3" t="s">
        <v>473</v>
      </c>
      <c r="B242" s="3" t="s">
        <v>14</v>
      </c>
      <c r="C242" s="11" t="s">
        <v>474</v>
      </c>
      <c r="D242" s="3" t="s">
        <v>52</v>
      </c>
      <c r="E242" s="21" t="s">
        <v>132</v>
      </c>
      <c r="F242" s="14">
        <v>3592</v>
      </c>
      <c r="G242" s="14">
        <v>911</v>
      </c>
      <c r="H242" s="14">
        <v>375</v>
      </c>
      <c r="I242" s="14">
        <v>50288</v>
      </c>
      <c r="J242" s="14">
        <v>49490</v>
      </c>
      <c r="K242" s="14">
        <v>32</v>
      </c>
      <c r="L242" s="4" t="s">
        <v>62</v>
      </c>
      <c r="M242" s="5" t="s">
        <v>38</v>
      </c>
      <c r="N242" s="17" t="s">
        <v>62</v>
      </c>
      <c r="Q242" s="25">
        <f>(F242+G242+H242)/I242</f>
        <v>9.7001272669424113E-2</v>
      </c>
      <c r="R242" s="15">
        <f t="shared" si="3"/>
        <v>4878</v>
      </c>
      <c r="T242">
        <v>39</v>
      </c>
      <c r="U242" s="9" t="s">
        <v>588</v>
      </c>
      <c r="V242">
        <f>RANK(T242, T:T)</f>
        <v>290</v>
      </c>
      <c r="W242"/>
      <c r="X242">
        <v>1814</v>
      </c>
      <c r="Y242">
        <v>363</v>
      </c>
      <c r="Z242" s="9" t="s">
        <v>62</v>
      </c>
      <c r="AA242">
        <f>X242+Y242</f>
        <v>2177</v>
      </c>
    </row>
    <row r="243" spans="1:27" ht="14.4" x14ac:dyDescent="0.3">
      <c r="A243" s="3" t="s">
        <v>475</v>
      </c>
      <c r="B243" s="3" t="s">
        <v>27</v>
      </c>
      <c r="C243" s="11" t="s">
        <v>476</v>
      </c>
      <c r="D243" s="3" t="s">
        <v>74</v>
      </c>
      <c r="E243" s="21" t="s">
        <v>219</v>
      </c>
      <c r="F243" s="14">
        <v>4661</v>
      </c>
      <c r="G243" s="14">
        <v>935</v>
      </c>
      <c r="H243" s="14">
        <v>433</v>
      </c>
      <c r="I243" s="14">
        <v>23305</v>
      </c>
      <c r="J243" s="14">
        <v>22583</v>
      </c>
      <c r="K243" s="14">
        <v>63</v>
      </c>
      <c r="L243" s="4" t="s">
        <v>62</v>
      </c>
      <c r="M243" s="5" t="s">
        <v>31</v>
      </c>
      <c r="N243" s="17" t="s">
        <v>62</v>
      </c>
      <c r="Q243" s="25">
        <f>(F243+G243+H243)/I243</f>
        <v>0.25869984981763572</v>
      </c>
      <c r="R243" s="15">
        <f t="shared" si="3"/>
        <v>6029</v>
      </c>
      <c r="T243">
        <v>252</v>
      </c>
      <c r="U243" s="9" t="s">
        <v>30</v>
      </c>
      <c r="V243">
        <f>RANK(T243, T:T)</f>
        <v>44</v>
      </c>
      <c r="W243"/>
      <c r="X243">
        <v>1814</v>
      </c>
      <c r="Y243">
        <v>363</v>
      </c>
      <c r="Z243" s="9" t="s">
        <v>588</v>
      </c>
      <c r="AA243">
        <f>X243+Y243</f>
        <v>2177</v>
      </c>
    </row>
    <row r="244" spans="1:27" ht="14.4" x14ac:dyDescent="0.3">
      <c r="A244" s="3" t="s">
        <v>477</v>
      </c>
      <c r="B244" s="3" t="s">
        <v>43</v>
      </c>
      <c r="C244" s="11" t="s">
        <v>478</v>
      </c>
      <c r="D244" s="3" t="s">
        <v>16</v>
      </c>
      <c r="E244" s="21" t="s">
        <v>65</v>
      </c>
      <c r="F244" s="14">
        <v>4134</v>
      </c>
      <c r="G244" s="14">
        <v>824</v>
      </c>
      <c r="H244" s="14">
        <v>99</v>
      </c>
      <c r="I244" s="14">
        <v>41340</v>
      </c>
      <c r="J244" s="14">
        <v>41050</v>
      </c>
      <c r="K244" s="14">
        <v>177</v>
      </c>
      <c r="L244" s="4" t="s">
        <v>37</v>
      </c>
      <c r="M244" s="5" t="s">
        <v>19</v>
      </c>
      <c r="N244" s="17" t="s">
        <v>37</v>
      </c>
      <c r="Q244" s="25">
        <f>(F244+G244+H244)/I244</f>
        <v>0.12232704402515723</v>
      </c>
      <c r="R244" s="15">
        <f t="shared" si="3"/>
        <v>5057</v>
      </c>
      <c r="T244">
        <v>164</v>
      </c>
      <c r="U244" s="9" t="s">
        <v>30</v>
      </c>
      <c r="V244">
        <f>RANK(T244, T:T)</f>
        <v>162</v>
      </c>
      <c r="W244"/>
      <c r="X244">
        <v>3338</v>
      </c>
      <c r="Y244">
        <v>118</v>
      </c>
      <c r="Z244" s="9" t="s">
        <v>30</v>
      </c>
      <c r="AA244">
        <f>X244+Y244</f>
        <v>3456</v>
      </c>
    </row>
    <row r="245" spans="1:27" ht="14.4" x14ac:dyDescent="0.3">
      <c r="A245" s="3" t="s">
        <v>479</v>
      </c>
      <c r="B245" s="3" t="s">
        <v>43</v>
      </c>
      <c r="C245" s="11" t="s">
        <v>480</v>
      </c>
      <c r="D245" s="3" t="s">
        <v>52</v>
      </c>
      <c r="E245" s="21" t="s">
        <v>59</v>
      </c>
      <c r="F245" s="14">
        <v>400</v>
      </c>
      <c r="G245" s="14">
        <v>680</v>
      </c>
      <c r="H245" s="14">
        <v>434</v>
      </c>
      <c r="I245" s="14">
        <v>6400</v>
      </c>
      <c r="J245" s="14">
        <v>5472</v>
      </c>
      <c r="K245" s="14">
        <v>160</v>
      </c>
      <c r="L245" s="4" t="s">
        <v>62</v>
      </c>
      <c r="M245" s="5" t="s">
        <v>25</v>
      </c>
      <c r="N245" s="17" t="s">
        <v>62</v>
      </c>
      <c r="Q245" s="25">
        <f>(F245+G245+H245)/I245</f>
        <v>0.23656250000000001</v>
      </c>
      <c r="R245" s="15">
        <f t="shared" si="3"/>
        <v>1514</v>
      </c>
      <c r="T245">
        <v>118</v>
      </c>
      <c r="U245" s="9" t="s">
        <v>37</v>
      </c>
      <c r="V245">
        <f>RANK(T245, T:T)</f>
        <v>211</v>
      </c>
      <c r="W245"/>
      <c r="X245">
        <v>602</v>
      </c>
      <c r="Y245">
        <v>156</v>
      </c>
      <c r="Z245" s="9" t="s">
        <v>30</v>
      </c>
      <c r="AA245">
        <f>X245+Y245</f>
        <v>758</v>
      </c>
    </row>
    <row r="246" spans="1:27" ht="14.4" x14ac:dyDescent="0.3">
      <c r="A246" s="3" t="s">
        <v>481</v>
      </c>
      <c r="B246" s="3" t="s">
        <v>43</v>
      </c>
      <c r="C246" s="11" t="s">
        <v>482</v>
      </c>
      <c r="D246" s="3" t="s">
        <v>16</v>
      </c>
      <c r="E246" s="21" t="s">
        <v>65</v>
      </c>
      <c r="F246" s="14">
        <v>3960</v>
      </c>
      <c r="G246" s="14">
        <v>266</v>
      </c>
      <c r="H246" s="14">
        <v>8</v>
      </c>
      <c r="I246" s="14">
        <v>35640</v>
      </c>
      <c r="J246" s="14">
        <v>34850</v>
      </c>
      <c r="K246" s="14">
        <v>208</v>
      </c>
      <c r="L246" s="4" t="s">
        <v>483</v>
      </c>
      <c r="M246" s="5"/>
      <c r="N246" s="17" t="s">
        <v>62</v>
      </c>
      <c r="O246" s="17" t="s">
        <v>37</v>
      </c>
      <c r="P246" s="17" t="s">
        <v>594</v>
      </c>
      <c r="Q246" s="25">
        <f>(F246+G246+H246)/I246</f>
        <v>0.11879910213243547</v>
      </c>
      <c r="R246" s="15">
        <f t="shared" si="3"/>
        <v>4234</v>
      </c>
      <c r="T246">
        <v>121</v>
      </c>
      <c r="U246" s="9" t="s">
        <v>30</v>
      </c>
      <c r="V246">
        <f>RANK(T246, T:T)</f>
        <v>207</v>
      </c>
      <c r="W246"/>
      <c r="X246">
        <v>4672</v>
      </c>
      <c r="Y246">
        <v>32</v>
      </c>
      <c r="Z246" s="9" t="s">
        <v>37</v>
      </c>
      <c r="AA246">
        <f>X246+Y246</f>
        <v>4704</v>
      </c>
    </row>
    <row r="247" spans="1:27" ht="14.4" x14ac:dyDescent="0.3">
      <c r="A247" s="3" t="s">
        <v>484</v>
      </c>
      <c r="B247" s="3" t="s">
        <v>43</v>
      </c>
      <c r="C247" s="11" t="s">
        <v>61</v>
      </c>
      <c r="D247" s="3" t="s">
        <v>35</v>
      </c>
      <c r="E247" s="21" t="s">
        <v>71</v>
      </c>
      <c r="F247" s="14">
        <v>886</v>
      </c>
      <c r="G247" s="14">
        <v>126</v>
      </c>
      <c r="H247" s="14">
        <v>153</v>
      </c>
      <c r="I247" s="14">
        <v>4430</v>
      </c>
      <c r="J247" s="14">
        <v>4037</v>
      </c>
      <c r="K247" s="14">
        <v>212</v>
      </c>
      <c r="L247" s="4" t="s">
        <v>37</v>
      </c>
      <c r="M247" s="5"/>
      <c r="N247" s="17" t="s">
        <v>37</v>
      </c>
      <c r="Q247" s="25">
        <f>(F247+G247+H247)/I247</f>
        <v>0.26297968397291194</v>
      </c>
      <c r="R247" s="15">
        <f t="shared" si="3"/>
        <v>1165</v>
      </c>
      <c r="T247">
        <v>217</v>
      </c>
      <c r="U247" s="9" t="s">
        <v>62</v>
      </c>
      <c r="V247">
        <f>RANK(T247, T:T)</f>
        <v>96</v>
      </c>
      <c r="W247"/>
      <c r="X247">
        <v>1741</v>
      </c>
      <c r="Y247">
        <v>318</v>
      </c>
      <c r="Z247" s="9" t="s">
        <v>30</v>
      </c>
      <c r="AA247">
        <f>X247+Y247</f>
        <v>2059</v>
      </c>
    </row>
    <row r="248" spans="1:27" ht="14.4" x14ac:dyDescent="0.3">
      <c r="A248" s="3" t="s">
        <v>485</v>
      </c>
      <c r="B248" s="3" t="s">
        <v>14</v>
      </c>
      <c r="C248" s="11" t="s">
        <v>428</v>
      </c>
      <c r="D248" s="3" t="s">
        <v>52</v>
      </c>
      <c r="E248" s="21" t="s">
        <v>132</v>
      </c>
      <c r="F248" s="14">
        <v>827</v>
      </c>
      <c r="G248" s="14">
        <v>77</v>
      </c>
      <c r="H248" s="14">
        <v>402</v>
      </c>
      <c r="I248" s="14">
        <v>14886</v>
      </c>
      <c r="J248" s="14">
        <v>14129</v>
      </c>
      <c r="K248" s="14">
        <v>254</v>
      </c>
      <c r="L248" s="4" t="s">
        <v>37</v>
      </c>
      <c r="M248" s="5" t="s">
        <v>25</v>
      </c>
      <c r="N248" s="17" t="s">
        <v>37</v>
      </c>
      <c r="Q248" s="25">
        <f>(F248+G248+H248)/I248</f>
        <v>8.7733440816874911E-2</v>
      </c>
      <c r="R248" s="15">
        <f t="shared" si="3"/>
        <v>1306</v>
      </c>
      <c r="T248">
        <v>195</v>
      </c>
      <c r="U248" s="9" t="s">
        <v>37</v>
      </c>
      <c r="V248">
        <f>RANK(T248, T:T)</f>
        <v>125</v>
      </c>
      <c r="W248"/>
      <c r="X248">
        <v>246</v>
      </c>
      <c r="Y248">
        <v>130</v>
      </c>
      <c r="Z248" s="9" t="s">
        <v>62</v>
      </c>
      <c r="AA248">
        <f>X248+Y248</f>
        <v>376</v>
      </c>
    </row>
    <row r="249" spans="1:27" ht="14.4" x14ac:dyDescent="0.3">
      <c r="A249" s="3" t="s">
        <v>486</v>
      </c>
      <c r="B249" s="3" t="s">
        <v>43</v>
      </c>
      <c r="C249" s="11" t="s">
        <v>172</v>
      </c>
      <c r="D249" s="3" t="s">
        <v>16</v>
      </c>
      <c r="E249" s="21" t="s">
        <v>65</v>
      </c>
      <c r="F249" s="14">
        <v>3813</v>
      </c>
      <c r="G249" s="14">
        <v>935</v>
      </c>
      <c r="H249" s="14">
        <v>274</v>
      </c>
      <c r="I249" s="14">
        <v>68634</v>
      </c>
      <c r="J249" s="14">
        <v>68488</v>
      </c>
      <c r="K249" s="14">
        <v>251</v>
      </c>
      <c r="L249" s="4" t="s">
        <v>62</v>
      </c>
      <c r="M249" s="5"/>
      <c r="N249" s="17" t="s">
        <v>62</v>
      </c>
      <c r="Q249" s="25">
        <f>(F249+G249+H249)/I249</f>
        <v>7.3170731707317069E-2</v>
      </c>
      <c r="R249" s="15">
        <f t="shared" si="3"/>
        <v>5022</v>
      </c>
      <c r="T249">
        <v>118</v>
      </c>
      <c r="U249" s="9" t="s">
        <v>30</v>
      </c>
      <c r="V249">
        <f>RANK(T249, T:T)</f>
        <v>211</v>
      </c>
      <c r="W249"/>
      <c r="X249">
        <v>4808</v>
      </c>
      <c r="Y249">
        <v>320</v>
      </c>
      <c r="Z249" s="9" t="s">
        <v>37</v>
      </c>
      <c r="AA249">
        <f>X249+Y249</f>
        <v>5128</v>
      </c>
    </row>
    <row r="250" spans="1:27" ht="14.4" x14ac:dyDescent="0.3">
      <c r="A250" s="3" t="s">
        <v>487</v>
      </c>
      <c r="B250" s="3" t="s">
        <v>33</v>
      </c>
      <c r="C250" s="11" t="s">
        <v>488</v>
      </c>
      <c r="D250" s="3" t="s">
        <v>45</v>
      </c>
      <c r="E250" s="21" t="s">
        <v>88</v>
      </c>
      <c r="F250" s="14">
        <v>1377</v>
      </c>
      <c r="G250" s="14">
        <v>796</v>
      </c>
      <c r="H250" s="14">
        <v>387</v>
      </c>
      <c r="I250" s="14">
        <v>22032</v>
      </c>
      <c r="J250" s="14">
        <v>21869</v>
      </c>
      <c r="K250" s="14">
        <v>189</v>
      </c>
      <c r="L250" s="4" t="s">
        <v>62</v>
      </c>
      <c r="M250" s="5"/>
      <c r="N250" s="17" t="s">
        <v>62</v>
      </c>
      <c r="Q250" s="25">
        <f>(F250+G250+H250)/I250</f>
        <v>0.11619462599854757</v>
      </c>
      <c r="R250" s="15">
        <f t="shared" si="3"/>
        <v>2560</v>
      </c>
      <c r="T250">
        <v>84</v>
      </c>
      <c r="U250" s="9" t="s">
        <v>37</v>
      </c>
      <c r="V250">
        <f>RANK(T250, T:T)</f>
        <v>244</v>
      </c>
      <c r="W250"/>
      <c r="X250">
        <v>4799</v>
      </c>
      <c r="Y250">
        <v>289</v>
      </c>
      <c r="Z250" s="9" t="s">
        <v>30</v>
      </c>
      <c r="AA250">
        <f>X250+Y250</f>
        <v>5088</v>
      </c>
    </row>
    <row r="251" spans="1:27" ht="14.4" x14ac:dyDescent="0.3">
      <c r="A251" s="3" t="s">
        <v>489</v>
      </c>
      <c r="B251" s="3" t="s">
        <v>43</v>
      </c>
      <c r="C251" s="11" t="s">
        <v>362</v>
      </c>
      <c r="D251" s="3" t="s">
        <v>45</v>
      </c>
      <c r="E251" s="21" t="s">
        <v>46</v>
      </c>
      <c r="F251" s="14">
        <v>2089</v>
      </c>
      <c r="G251" s="14">
        <v>476</v>
      </c>
      <c r="H251" s="14">
        <v>69</v>
      </c>
      <c r="I251" s="14">
        <v>16712</v>
      </c>
      <c r="J251" s="14">
        <v>16309</v>
      </c>
      <c r="K251" s="14">
        <v>64</v>
      </c>
      <c r="L251" s="4" t="s">
        <v>62</v>
      </c>
      <c r="M251" s="5" t="s">
        <v>31</v>
      </c>
      <c r="N251" s="17" t="s">
        <v>62</v>
      </c>
      <c r="Q251" s="25">
        <f>(F251+G251+H251)/I251</f>
        <v>0.15761129727142173</v>
      </c>
      <c r="R251" s="15">
        <f t="shared" si="3"/>
        <v>2634</v>
      </c>
      <c r="T251">
        <v>251</v>
      </c>
      <c r="U251" s="9" t="s">
        <v>62</v>
      </c>
      <c r="V251">
        <f>RANK(T251, T:T)</f>
        <v>45</v>
      </c>
      <c r="W251"/>
      <c r="X251">
        <v>3663</v>
      </c>
      <c r="Y251">
        <v>295</v>
      </c>
      <c r="Z251" s="9" t="s">
        <v>37</v>
      </c>
      <c r="AA251">
        <f>X251+Y251</f>
        <v>3958</v>
      </c>
    </row>
    <row r="252" spans="1:27" ht="14.4" x14ac:dyDescent="0.3">
      <c r="A252" s="3" t="s">
        <v>490</v>
      </c>
      <c r="B252" s="3" t="s">
        <v>14</v>
      </c>
      <c r="C252" s="11" t="s">
        <v>491</v>
      </c>
      <c r="D252" s="3" t="s">
        <v>16</v>
      </c>
      <c r="E252" s="21" t="s">
        <v>17</v>
      </c>
      <c r="F252" s="14">
        <v>3791</v>
      </c>
      <c r="G252" s="14">
        <v>593</v>
      </c>
      <c r="H252" s="14">
        <v>228</v>
      </c>
      <c r="I252" s="14">
        <v>53074</v>
      </c>
      <c r="J252" s="14">
        <v>52613</v>
      </c>
      <c r="K252" s="14">
        <v>205</v>
      </c>
      <c r="L252" s="4" t="s">
        <v>37</v>
      </c>
      <c r="M252" s="5"/>
      <c r="N252" s="17" t="s">
        <v>37</v>
      </c>
      <c r="Q252" s="25">
        <f>(F252+G252+H252)/I252</f>
        <v>8.6897539284772202E-2</v>
      </c>
      <c r="R252" s="15">
        <f t="shared" si="3"/>
        <v>4612</v>
      </c>
      <c r="T252">
        <v>201</v>
      </c>
      <c r="U252" s="9" t="s">
        <v>37</v>
      </c>
      <c r="V252">
        <f>RANK(T252, T:T)</f>
        <v>116</v>
      </c>
      <c r="W252"/>
      <c r="X252">
        <v>1430</v>
      </c>
      <c r="Y252">
        <v>33</v>
      </c>
      <c r="Z252" s="9" t="s">
        <v>62</v>
      </c>
      <c r="AA252">
        <f>X252+Y252</f>
        <v>1463</v>
      </c>
    </row>
    <row r="253" spans="1:27" ht="14.4" x14ac:dyDescent="0.3">
      <c r="A253" s="3" t="s">
        <v>492</v>
      </c>
      <c r="B253" s="3" t="s">
        <v>14</v>
      </c>
      <c r="C253" s="11" t="s">
        <v>493</v>
      </c>
      <c r="D253" s="3" t="s">
        <v>52</v>
      </c>
      <c r="E253" s="21" t="s">
        <v>132</v>
      </c>
      <c r="F253" s="14">
        <v>2692</v>
      </c>
      <c r="G253" s="14">
        <v>115</v>
      </c>
      <c r="H253" s="14">
        <v>64</v>
      </c>
      <c r="I253" s="14">
        <v>21536</v>
      </c>
      <c r="J253" s="14">
        <v>21120</v>
      </c>
      <c r="K253" s="14">
        <v>224</v>
      </c>
      <c r="L253" s="4" t="s">
        <v>62</v>
      </c>
      <c r="M253" s="5" t="s">
        <v>25</v>
      </c>
      <c r="N253" s="17" t="s">
        <v>62</v>
      </c>
      <c r="Q253" s="25">
        <f>(F253+G253+H253)/I253</f>
        <v>0.13331166419019316</v>
      </c>
      <c r="R253" s="15">
        <f t="shared" si="3"/>
        <v>2871</v>
      </c>
      <c r="T253">
        <v>249</v>
      </c>
      <c r="U253" s="9" t="s">
        <v>62</v>
      </c>
      <c r="V253">
        <f>RANK(T253, T:T)</f>
        <v>48</v>
      </c>
      <c r="W253"/>
      <c r="X253">
        <v>249</v>
      </c>
      <c r="Y253">
        <v>230</v>
      </c>
      <c r="Z253" s="9" t="s">
        <v>37</v>
      </c>
      <c r="AA253">
        <f>X253+Y253</f>
        <v>479</v>
      </c>
    </row>
    <row r="254" spans="1:27" ht="14.4" x14ac:dyDescent="0.3">
      <c r="A254" s="3" t="s">
        <v>494</v>
      </c>
      <c r="B254" s="3" t="s">
        <v>43</v>
      </c>
      <c r="C254" s="11" t="s">
        <v>21</v>
      </c>
      <c r="D254" s="3" t="s">
        <v>35</v>
      </c>
      <c r="E254" s="21" t="s">
        <v>71</v>
      </c>
      <c r="F254" s="14">
        <v>3767</v>
      </c>
      <c r="G254" s="14">
        <v>514</v>
      </c>
      <c r="H254" s="14">
        <v>238</v>
      </c>
      <c r="I254" s="14">
        <v>37670</v>
      </c>
      <c r="J254" s="14">
        <v>36807</v>
      </c>
      <c r="K254" s="14">
        <v>226</v>
      </c>
      <c r="L254" s="4" t="s">
        <v>62</v>
      </c>
      <c r="M254" s="5" t="s">
        <v>38</v>
      </c>
      <c r="N254" s="17" t="s">
        <v>62</v>
      </c>
      <c r="Q254" s="25">
        <f>(F254+G254+H254)/I254</f>
        <v>0.11996283514733209</v>
      </c>
      <c r="R254" s="15">
        <f t="shared" si="3"/>
        <v>4519</v>
      </c>
      <c r="T254">
        <v>42</v>
      </c>
      <c r="U254" s="9" t="s">
        <v>30</v>
      </c>
      <c r="V254">
        <f>RANK(T254, T:T)</f>
        <v>287</v>
      </c>
      <c r="W254"/>
      <c r="X254">
        <v>2382</v>
      </c>
      <c r="Y254">
        <v>134</v>
      </c>
      <c r="Z254" s="9" t="s">
        <v>62</v>
      </c>
      <c r="AA254">
        <f>X254+Y254</f>
        <v>2516</v>
      </c>
    </row>
    <row r="255" spans="1:27" ht="14.4" x14ac:dyDescent="0.3">
      <c r="A255" s="3" t="s">
        <v>495</v>
      </c>
      <c r="B255" s="3" t="s">
        <v>27</v>
      </c>
      <c r="C255" s="11" t="s">
        <v>251</v>
      </c>
      <c r="D255" s="3" t="s">
        <v>45</v>
      </c>
      <c r="E255" s="21" t="s">
        <v>68</v>
      </c>
      <c r="F255" s="14">
        <v>2143</v>
      </c>
      <c r="G255" s="14">
        <v>12</v>
      </c>
      <c r="H255" s="14">
        <v>204</v>
      </c>
      <c r="I255" s="14">
        <v>40717</v>
      </c>
      <c r="J255" s="14">
        <v>40125</v>
      </c>
      <c r="K255" s="14">
        <v>248</v>
      </c>
      <c r="L255" s="4" t="s">
        <v>37</v>
      </c>
      <c r="M255" s="5" t="s">
        <v>25</v>
      </c>
      <c r="N255" s="17" t="s">
        <v>37</v>
      </c>
      <c r="Q255" s="25">
        <f>(F255+G255+H255)/I255</f>
        <v>5.7936488444630008E-2</v>
      </c>
      <c r="R255" s="15">
        <f t="shared" si="3"/>
        <v>2359</v>
      </c>
      <c r="T255">
        <v>241</v>
      </c>
      <c r="U255" s="9" t="s">
        <v>30</v>
      </c>
      <c r="V255">
        <f>RANK(T255, T:T)</f>
        <v>57</v>
      </c>
      <c r="W255"/>
      <c r="X255">
        <v>1272</v>
      </c>
      <c r="Y255">
        <v>99</v>
      </c>
      <c r="Z255" s="9" t="s">
        <v>30</v>
      </c>
      <c r="AA255">
        <f>X255+Y255</f>
        <v>1371</v>
      </c>
    </row>
    <row r="256" spans="1:27" ht="14.4" x14ac:dyDescent="0.3">
      <c r="A256" s="3" t="s">
        <v>496</v>
      </c>
      <c r="B256" s="3" t="s">
        <v>43</v>
      </c>
      <c r="C256" s="11" t="s">
        <v>290</v>
      </c>
      <c r="D256" s="3" t="s">
        <v>52</v>
      </c>
      <c r="E256" s="21" t="s">
        <v>59</v>
      </c>
      <c r="F256" s="14">
        <v>3090</v>
      </c>
      <c r="G256" s="14">
        <v>697</v>
      </c>
      <c r="H256" s="14">
        <v>164</v>
      </c>
      <c r="I256" s="14">
        <v>49440</v>
      </c>
      <c r="J256" s="14">
        <v>48524</v>
      </c>
      <c r="K256" s="14">
        <v>25</v>
      </c>
      <c r="L256" s="4" t="s">
        <v>497</v>
      </c>
      <c r="M256" s="5" t="s">
        <v>25</v>
      </c>
      <c r="N256" s="17" t="s">
        <v>37</v>
      </c>
      <c r="O256" s="17" t="s">
        <v>37</v>
      </c>
      <c r="P256" s="17" t="s">
        <v>594</v>
      </c>
      <c r="Q256" s="25">
        <f>(F256+G256+H256)/I256</f>
        <v>7.9915048543689318E-2</v>
      </c>
      <c r="R256" s="15">
        <f t="shared" si="3"/>
        <v>3951</v>
      </c>
      <c r="T256">
        <v>194</v>
      </c>
      <c r="U256" s="9" t="s">
        <v>62</v>
      </c>
      <c r="V256">
        <f>RANK(T256, T:T)</f>
        <v>128</v>
      </c>
      <c r="W256"/>
      <c r="X256">
        <v>3196</v>
      </c>
      <c r="Y256">
        <v>376</v>
      </c>
      <c r="Z256" s="9" t="s">
        <v>30</v>
      </c>
      <c r="AA256">
        <f>X256+Y256</f>
        <v>3572</v>
      </c>
    </row>
    <row r="257" spans="1:27" ht="14.4" x14ac:dyDescent="0.3">
      <c r="A257" s="3" t="s">
        <v>498</v>
      </c>
      <c r="B257" s="3" t="s">
        <v>33</v>
      </c>
      <c r="C257" s="11" t="s">
        <v>499</v>
      </c>
      <c r="D257" s="3" t="s">
        <v>35</v>
      </c>
      <c r="E257" s="21" t="s">
        <v>36</v>
      </c>
      <c r="F257" s="14">
        <v>3601</v>
      </c>
      <c r="G257" s="14">
        <v>695</v>
      </c>
      <c r="H257" s="14">
        <v>75</v>
      </c>
      <c r="I257" s="14">
        <v>21606</v>
      </c>
      <c r="J257" s="14">
        <v>21454</v>
      </c>
      <c r="K257" s="14">
        <v>172</v>
      </c>
      <c r="L257" s="4" t="s">
        <v>37</v>
      </c>
      <c r="M257" s="5" t="s">
        <v>25</v>
      </c>
      <c r="N257" s="17" t="s">
        <v>37</v>
      </c>
      <c r="Q257" s="25">
        <f>(F257+G257+H257)/I257</f>
        <v>0.2023049153013052</v>
      </c>
      <c r="R257" s="15">
        <f t="shared" si="3"/>
        <v>4371</v>
      </c>
      <c r="T257">
        <v>194</v>
      </c>
      <c r="U257" s="9" t="s">
        <v>593</v>
      </c>
      <c r="V257">
        <f>RANK(T257, T:T)</f>
        <v>128</v>
      </c>
      <c r="W257"/>
      <c r="X257">
        <v>1257</v>
      </c>
      <c r="Y257">
        <v>351</v>
      </c>
      <c r="Z257" s="9" t="s">
        <v>62</v>
      </c>
      <c r="AA257">
        <f>X257+Y257</f>
        <v>1608</v>
      </c>
    </row>
    <row r="258" spans="1:27" ht="14.4" x14ac:dyDescent="0.3">
      <c r="A258" s="3" t="s">
        <v>500</v>
      </c>
      <c r="B258" s="3" t="s">
        <v>43</v>
      </c>
      <c r="C258" s="11" t="s">
        <v>248</v>
      </c>
      <c r="D258" s="3" t="s">
        <v>22</v>
      </c>
      <c r="E258" s="21" t="s">
        <v>56</v>
      </c>
      <c r="F258" s="14">
        <v>562</v>
      </c>
      <c r="G258" s="14">
        <v>158</v>
      </c>
      <c r="H258" s="14">
        <v>149</v>
      </c>
      <c r="I258" s="14">
        <v>3372</v>
      </c>
      <c r="J258" s="14">
        <v>2940</v>
      </c>
      <c r="K258" s="14">
        <v>93</v>
      </c>
      <c r="L258" s="4" t="s">
        <v>30</v>
      </c>
      <c r="M258" s="5" t="s">
        <v>19</v>
      </c>
      <c r="N258" s="17" t="s">
        <v>30</v>
      </c>
      <c r="Q258" s="25">
        <f>(F258+G258+H258)/I258</f>
        <v>0.25771055753262156</v>
      </c>
      <c r="R258" s="15">
        <f t="shared" si="3"/>
        <v>869</v>
      </c>
      <c r="T258">
        <v>194</v>
      </c>
      <c r="U258" s="9" t="s">
        <v>37</v>
      </c>
      <c r="V258">
        <f>RANK(T258, T:T)</f>
        <v>128</v>
      </c>
      <c r="W258"/>
      <c r="X258">
        <v>1257</v>
      </c>
      <c r="Y258">
        <v>351</v>
      </c>
      <c r="Z258" s="9" t="s">
        <v>593</v>
      </c>
      <c r="AA258">
        <f>X258+Y258</f>
        <v>1608</v>
      </c>
    </row>
    <row r="259" spans="1:27" ht="14.4" x14ac:dyDescent="0.3">
      <c r="A259" s="3" t="s">
        <v>501</v>
      </c>
      <c r="B259" s="3" t="s">
        <v>33</v>
      </c>
      <c r="C259" s="11" t="s">
        <v>502</v>
      </c>
      <c r="D259" s="3" t="s">
        <v>35</v>
      </c>
      <c r="E259" s="21" t="s">
        <v>36</v>
      </c>
      <c r="F259" s="14">
        <v>4332</v>
      </c>
      <c r="G259" s="14">
        <v>771</v>
      </c>
      <c r="H259" s="14">
        <v>219</v>
      </c>
      <c r="I259" s="14">
        <v>60648</v>
      </c>
      <c r="J259" s="14">
        <v>60397</v>
      </c>
      <c r="K259" s="14">
        <v>10</v>
      </c>
      <c r="L259" s="4" t="s">
        <v>503</v>
      </c>
      <c r="M259" s="5" t="s">
        <v>31</v>
      </c>
      <c r="N259" s="17" t="s">
        <v>30</v>
      </c>
      <c r="O259" s="17" t="s">
        <v>37</v>
      </c>
      <c r="P259" s="17" t="s">
        <v>594</v>
      </c>
      <c r="Q259" s="25">
        <f>(F259+G259+H259)/I259</f>
        <v>8.7752275425405618E-2</v>
      </c>
      <c r="R259" s="15">
        <f t="shared" ref="R259:R299" si="4">F259+G259+H259</f>
        <v>5322</v>
      </c>
      <c r="T259">
        <v>76</v>
      </c>
      <c r="U259" s="9" t="s">
        <v>62</v>
      </c>
      <c r="V259">
        <f>RANK(T259, T:T)</f>
        <v>252</v>
      </c>
      <c r="W259"/>
      <c r="X259">
        <v>1257</v>
      </c>
      <c r="Y259">
        <v>351</v>
      </c>
      <c r="Z259" s="9" t="s">
        <v>37</v>
      </c>
      <c r="AA259">
        <f>X259+Y259</f>
        <v>1608</v>
      </c>
    </row>
    <row r="260" spans="1:27" ht="14.4" x14ac:dyDescent="0.3">
      <c r="A260" s="3" t="s">
        <v>504</v>
      </c>
      <c r="B260" s="3" t="s">
        <v>33</v>
      </c>
      <c r="C260" s="11" t="s">
        <v>505</v>
      </c>
      <c r="D260" s="3" t="s">
        <v>52</v>
      </c>
      <c r="E260" s="21" t="s">
        <v>215</v>
      </c>
      <c r="F260" s="14">
        <v>4853</v>
      </c>
      <c r="G260" s="14">
        <v>837</v>
      </c>
      <c r="H260" s="14">
        <v>340</v>
      </c>
      <c r="I260" s="14">
        <v>72795</v>
      </c>
      <c r="J260" s="14">
        <v>72237</v>
      </c>
      <c r="K260" s="14">
        <v>170</v>
      </c>
      <c r="L260" s="4" t="s">
        <v>37</v>
      </c>
      <c r="M260" s="5" t="s">
        <v>19</v>
      </c>
      <c r="N260" s="17" t="s">
        <v>37</v>
      </c>
      <c r="Q260" s="25">
        <f>(F260+G260+H260)/I260</f>
        <v>8.2835359571399134E-2</v>
      </c>
      <c r="R260" s="15">
        <f t="shared" si="4"/>
        <v>6030</v>
      </c>
      <c r="T260">
        <v>43</v>
      </c>
      <c r="U260" s="9" t="s">
        <v>62</v>
      </c>
      <c r="V260">
        <f>RANK(T260, T:T)</f>
        <v>285</v>
      </c>
      <c r="W260"/>
      <c r="X260">
        <v>3770</v>
      </c>
      <c r="Y260">
        <v>129</v>
      </c>
      <c r="Z260" s="9" t="s">
        <v>62</v>
      </c>
      <c r="AA260">
        <f>X260+Y260</f>
        <v>3899</v>
      </c>
    </row>
    <row r="261" spans="1:27" ht="14.4" x14ac:dyDescent="0.3">
      <c r="A261" s="3" t="s">
        <v>506</v>
      </c>
      <c r="B261" s="3" t="s">
        <v>27</v>
      </c>
      <c r="C261" s="11" t="s">
        <v>471</v>
      </c>
      <c r="D261" s="3" t="s">
        <v>52</v>
      </c>
      <c r="E261" s="21" t="s">
        <v>53</v>
      </c>
      <c r="F261" s="14">
        <v>1206</v>
      </c>
      <c r="G261" s="14">
        <v>238</v>
      </c>
      <c r="H261" s="14">
        <v>36</v>
      </c>
      <c r="I261" s="14">
        <v>9648</v>
      </c>
      <c r="J261" s="14">
        <v>9417</v>
      </c>
      <c r="K261" s="14">
        <v>237</v>
      </c>
      <c r="L261" s="4" t="s">
        <v>30</v>
      </c>
      <c r="M261" s="5"/>
      <c r="N261" s="17" t="s">
        <v>30</v>
      </c>
      <c r="Q261" s="25">
        <f>(F261+G261+H261)/I261</f>
        <v>0.15339966832504145</v>
      </c>
      <c r="R261" s="15">
        <f t="shared" si="4"/>
        <v>1480</v>
      </c>
      <c r="T261">
        <v>102</v>
      </c>
      <c r="U261" s="9" t="s">
        <v>62</v>
      </c>
      <c r="V261">
        <f>RANK(T261, T:T)</f>
        <v>228</v>
      </c>
      <c r="W261"/>
      <c r="X261">
        <v>4725</v>
      </c>
      <c r="Y261">
        <v>362</v>
      </c>
      <c r="Z261" s="9" t="s">
        <v>62</v>
      </c>
      <c r="AA261">
        <f>X261+Y261</f>
        <v>5087</v>
      </c>
    </row>
    <row r="262" spans="1:27" ht="14.4" x14ac:dyDescent="0.3">
      <c r="A262" s="3" t="s">
        <v>507</v>
      </c>
      <c r="B262" s="3" t="s">
        <v>33</v>
      </c>
      <c r="C262" s="11" t="s">
        <v>508</v>
      </c>
      <c r="D262" s="3" t="s">
        <v>16</v>
      </c>
      <c r="E262" s="21" t="s">
        <v>82</v>
      </c>
      <c r="F262" s="14">
        <v>2603</v>
      </c>
      <c r="G262" s="14">
        <v>690</v>
      </c>
      <c r="H262" s="14">
        <v>205</v>
      </c>
      <c r="I262" s="14">
        <v>13015</v>
      </c>
      <c r="J262" s="14">
        <v>12130</v>
      </c>
      <c r="K262" s="14">
        <v>20</v>
      </c>
      <c r="L262" s="4" t="s">
        <v>62</v>
      </c>
      <c r="M262" s="5" t="s">
        <v>25</v>
      </c>
      <c r="N262" s="17" t="s">
        <v>62</v>
      </c>
      <c r="Q262" s="25">
        <f>(F262+G262+H262)/I262</f>
        <v>0.26876680752977333</v>
      </c>
      <c r="R262" s="15">
        <f t="shared" si="4"/>
        <v>3498</v>
      </c>
      <c r="T262">
        <v>145</v>
      </c>
      <c r="U262" s="9" t="s">
        <v>37</v>
      </c>
      <c r="V262">
        <f>RANK(T262, T:T)</f>
        <v>177</v>
      </c>
      <c r="W262"/>
      <c r="X262">
        <v>4188</v>
      </c>
      <c r="Y262">
        <v>118</v>
      </c>
      <c r="Z262" s="9" t="s">
        <v>62</v>
      </c>
      <c r="AA262">
        <f>X262+Y262</f>
        <v>4306</v>
      </c>
    </row>
    <row r="263" spans="1:27" ht="14.4" x14ac:dyDescent="0.3">
      <c r="A263" s="3" t="s">
        <v>509</v>
      </c>
      <c r="B263" s="3" t="s">
        <v>14</v>
      </c>
      <c r="C263" s="11" t="s">
        <v>510</v>
      </c>
      <c r="D263" s="3" t="s">
        <v>52</v>
      </c>
      <c r="E263" s="21" t="s">
        <v>132</v>
      </c>
      <c r="F263" s="14">
        <v>59</v>
      </c>
      <c r="G263" s="14">
        <v>163</v>
      </c>
      <c r="H263" s="14">
        <v>93</v>
      </c>
      <c r="I263" s="14">
        <v>590</v>
      </c>
      <c r="J263" s="14">
        <v>475</v>
      </c>
      <c r="K263" s="14">
        <v>293</v>
      </c>
      <c r="L263" s="4" t="s">
        <v>30</v>
      </c>
      <c r="M263" s="5" t="s">
        <v>25</v>
      </c>
      <c r="N263" s="17" t="s">
        <v>30</v>
      </c>
      <c r="Q263" s="25">
        <f>(F263+G263+H263)/I263</f>
        <v>0.53389830508474578</v>
      </c>
      <c r="R263" s="15">
        <f t="shared" si="4"/>
        <v>315</v>
      </c>
      <c r="T263">
        <v>145</v>
      </c>
      <c r="U263" s="9" t="s">
        <v>30</v>
      </c>
      <c r="V263">
        <f>RANK(T263, T:T)</f>
        <v>177</v>
      </c>
      <c r="W263"/>
      <c r="X263">
        <v>929</v>
      </c>
      <c r="Y263">
        <v>322</v>
      </c>
      <c r="Z263" s="9" t="s">
        <v>37</v>
      </c>
      <c r="AA263">
        <f>X263+Y263</f>
        <v>1251</v>
      </c>
    </row>
    <row r="264" spans="1:27" ht="14.4" x14ac:dyDescent="0.3">
      <c r="A264" s="3" t="s">
        <v>511</v>
      </c>
      <c r="B264" s="3" t="s">
        <v>14</v>
      </c>
      <c r="C264" s="11" t="s">
        <v>512</v>
      </c>
      <c r="D264" s="3" t="s">
        <v>45</v>
      </c>
      <c r="E264" s="21" t="s">
        <v>49</v>
      </c>
      <c r="F264" s="14">
        <v>1877</v>
      </c>
      <c r="G264" s="14">
        <v>745</v>
      </c>
      <c r="H264" s="14">
        <v>225</v>
      </c>
      <c r="I264" s="14">
        <v>11262</v>
      </c>
      <c r="J264" s="14">
        <v>10967</v>
      </c>
      <c r="K264" s="14">
        <v>41</v>
      </c>
      <c r="L264" s="4" t="s">
        <v>37</v>
      </c>
      <c r="M264" s="5" t="s">
        <v>38</v>
      </c>
      <c r="N264" s="17" t="s">
        <v>37</v>
      </c>
      <c r="Q264" s="25">
        <f>(F264+G264+H264)/I264</f>
        <v>0.25279701651571657</v>
      </c>
      <c r="R264" s="15">
        <f t="shared" si="4"/>
        <v>2847</v>
      </c>
      <c r="T264">
        <v>145</v>
      </c>
      <c r="U264" s="9" t="s">
        <v>593</v>
      </c>
      <c r="V264">
        <f>RANK(T264, T:T)</f>
        <v>177</v>
      </c>
      <c r="W264"/>
      <c r="X264">
        <v>929</v>
      </c>
      <c r="Y264">
        <v>322</v>
      </c>
      <c r="Z264" s="9" t="s">
        <v>30</v>
      </c>
      <c r="AA264">
        <f>X264+Y264</f>
        <v>1251</v>
      </c>
    </row>
    <row r="265" spans="1:27" ht="14.4" x14ac:dyDescent="0.3">
      <c r="A265" s="3" t="s">
        <v>513</v>
      </c>
      <c r="B265" s="3" t="s">
        <v>43</v>
      </c>
      <c r="C265" s="11" t="s">
        <v>129</v>
      </c>
      <c r="D265" s="3" t="s">
        <v>35</v>
      </c>
      <c r="E265" s="21" t="s">
        <v>71</v>
      </c>
      <c r="F265" s="14">
        <v>4182</v>
      </c>
      <c r="G265" s="14">
        <v>640</v>
      </c>
      <c r="H265" s="14">
        <v>240</v>
      </c>
      <c r="I265" s="14">
        <v>50184</v>
      </c>
      <c r="J265" s="14">
        <v>49351</v>
      </c>
      <c r="K265" s="14">
        <v>10</v>
      </c>
      <c r="L265" s="4" t="s">
        <v>30</v>
      </c>
      <c r="M265" s="5" t="s">
        <v>31</v>
      </c>
      <c r="N265" s="17" t="s">
        <v>30</v>
      </c>
      <c r="Q265" s="25">
        <f>(F265+G265+H265)/I265</f>
        <v>0.10086880280567512</v>
      </c>
      <c r="R265" s="15">
        <f t="shared" si="4"/>
        <v>5062</v>
      </c>
      <c r="T265">
        <v>122</v>
      </c>
      <c r="U265" s="9" t="s">
        <v>30</v>
      </c>
      <c r="V265">
        <f>RANK(T265, T:T)</f>
        <v>205</v>
      </c>
      <c r="W265"/>
      <c r="X265">
        <v>929</v>
      </c>
      <c r="Y265">
        <v>322</v>
      </c>
      <c r="Z265" s="9" t="s">
        <v>593</v>
      </c>
      <c r="AA265">
        <f>X265+Y265</f>
        <v>1251</v>
      </c>
    </row>
    <row r="266" spans="1:27" ht="14.4" x14ac:dyDescent="0.3">
      <c r="A266" s="3" t="s">
        <v>514</v>
      </c>
      <c r="B266" s="3" t="s">
        <v>14</v>
      </c>
      <c r="C266" s="11" t="s">
        <v>394</v>
      </c>
      <c r="D266" s="3" t="s">
        <v>16</v>
      </c>
      <c r="E266" s="21" t="s">
        <v>17</v>
      </c>
      <c r="F266" s="14">
        <v>4187</v>
      </c>
      <c r="G266" s="14">
        <v>66</v>
      </c>
      <c r="H266" s="14">
        <v>31</v>
      </c>
      <c r="I266" s="14">
        <v>66992</v>
      </c>
      <c r="J266" s="14">
        <v>66614</v>
      </c>
      <c r="K266" s="14">
        <v>62</v>
      </c>
      <c r="L266" s="4" t="s">
        <v>62</v>
      </c>
      <c r="M266" s="5"/>
      <c r="N266" s="17" t="s">
        <v>62</v>
      </c>
      <c r="Q266" s="25">
        <f>(F266+G266+H266)/I266</f>
        <v>6.3947934081681396E-2</v>
      </c>
      <c r="R266" s="15">
        <f t="shared" si="4"/>
        <v>4284</v>
      </c>
      <c r="T266">
        <v>210</v>
      </c>
      <c r="U266" s="9" t="s">
        <v>37</v>
      </c>
      <c r="V266">
        <f>RANK(T266, T:T)</f>
        <v>105</v>
      </c>
      <c r="W266"/>
      <c r="X266">
        <v>4321</v>
      </c>
      <c r="Y266">
        <v>172</v>
      </c>
      <c r="Z266" s="9" t="s">
        <v>30</v>
      </c>
      <c r="AA266">
        <f>X266+Y266</f>
        <v>4493</v>
      </c>
    </row>
    <row r="267" spans="1:27" ht="14.4" x14ac:dyDescent="0.3">
      <c r="A267" s="3" t="s">
        <v>515</v>
      </c>
      <c r="B267" s="3" t="s">
        <v>33</v>
      </c>
      <c r="C267" s="11" t="s">
        <v>516</v>
      </c>
      <c r="D267" s="3" t="s">
        <v>16</v>
      </c>
      <c r="E267" s="21" t="s">
        <v>82</v>
      </c>
      <c r="F267" s="14">
        <v>4579</v>
      </c>
      <c r="G267" s="14">
        <v>125</v>
      </c>
      <c r="H267" s="14">
        <v>300</v>
      </c>
      <c r="I267" s="14">
        <v>59527</v>
      </c>
      <c r="J267" s="14">
        <v>59400</v>
      </c>
      <c r="K267" s="14">
        <v>269</v>
      </c>
      <c r="L267" s="4" t="s">
        <v>37</v>
      </c>
      <c r="M267" s="5" t="s">
        <v>19</v>
      </c>
      <c r="N267" s="17" t="s">
        <v>37</v>
      </c>
      <c r="Q267" s="25">
        <f>(F267+G267+H267)/I267</f>
        <v>8.4062694239588759E-2</v>
      </c>
      <c r="R267" s="15">
        <f t="shared" si="4"/>
        <v>5004</v>
      </c>
      <c r="T267">
        <v>32</v>
      </c>
      <c r="U267" s="9" t="s">
        <v>62</v>
      </c>
      <c r="V267">
        <f>RANK(T267, T:T)</f>
        <v>299</v>
      </c>
      <c r="W267"/>
      <c r="X267">
        <v>4767</v>
      </c>
      <c r="Y267">
        <v>340</v>
      </c>
      <c r="Z267" s="9" t="s">
        <v>37</v>
      </c>
      <c r="AA267">
        <f>X267+Y267</f>
        <v>5107</v>
      </c>
    </row>
    <row r="268" spans="1:27" ht="14.4" x14ac:dyDescent="0.3">
      <c r="A268" s="3" t="s">
        <v>517</v>
      </c>
      <c r="B268" s="3" t="s">
        <v>33</v>
      </c>
      <c r="C268" s="11" t="s">
        <v>518</v>
      </c>
      <c r="D268" s="3" t="s">
        <v>74</v>
      </c>
      <c r="E268" s="21" t="s">
        <v>85</v>
      </c>
      <c r="F268" s="14">
        <v>4561</v>
      </c>
      <c r="G268" s="14">
        <v>51</v>
      </c>
      <c r="H268" s="14">
        <v>441</v>
      </c>
      <c r="I268" s="14">
        <v>22805</v>
      </c>
      <c r="J268" s="14">
        <v>21890</v>
      </c>
      <c r="K268" s="14">
        <v>45</v>
      </c>
      <c r="L268" s="4" t="s">
        <v>30</v>
      </c>
      <c r="M268" s="5" t="s">
        <v>25</v>
      </c>
      <c r="N268" s="17" t="s">
        <v>30</v>
      </c>
      <c r="Q268" s="25">
        <f>(F268+G268+H268)/I268</f>
        <v>0.22157421618066214</v>
      </c>
      <c r="R268" s="15">
        <f t="shared" si="4"/>
        <v>5053</v>
      </c>
      <c r="T268">
        <v>63</v>
      </c>
      <c r="U268" s="9" t="s">
        <v>62</v>
      </c>
      <c r="V268">
        <f>RANK(T268, T:T)</f>
        <v>263</v>
      </c>
      <c r="W268"/>
      <c r="X268">
        <v>3592</v>
      </c>
      <c r="Y268">
        <v>375</v>
      </c>
      <c r="Z268" s="9" t="s">
        <v>62</v>
      </c>
      <c r="AA268">
        <f>X268+Y268</f>
        <v>3967</v>
      </c>
    </row>
    <row r="269" spans="1:27" ht="14.4" x14ac:dyDescent="0.3">
      <c r="A269" s="3" t="s">
        <v>519</v>
      </c>
      <c r="B269" s="3" t="s">
        <v>27</v>
      </c>
      <c r="C269" s="11" t="s">
        <v>412</v>
      </c>
      <c r="D269" s="3" t="s">
        <v>16</v>
      </c>
      <c r="E269" s="21" t="s">
        <v>29</v>
      </c>
      <c r="F269" s="14">
        <v>3774</v>
      </c>
      <c r="G269" s="14">
        <v>239</v>
      </c>
      <c r="H269" s="14">
        <v>39</v>
      </c>
      <c r="I269" s="14">
        <v>60384</v>
      </c>
      <c r="J269" s="14">
        <v>59490</v>
      </c>
      <c r="K269" s="14">
        <v>241</v>
      </c>
      <c r="L269" s="4" t="s">
        <v>30</v>
      </c>
      <c r="M269" s="5" t="s">
        <v>31</v>
      </c>
      <c r="N269" s="17" t="s">
        <v>30</v>
      </c>
      <c r="Q269" s="25">
        <f>(F269+G269+H269)/I269</f>
        <v>6.7103868574456813E-2</v>
      </c>
      <c r="R269" s="15">
        <f t="shared" si="4"/>
        <v>4052</v>
      </c>
      <c r="T269">
        <v>177</v>
      </c>
      <c r="U269" s="9" t="s">
        <v>37</v>
      </c>
      <c r="V269">
        <f>RANK(T269, T:T)</f>
        <v>144</v>
      </c>
      <c r="W269"/>
      <c r="X269">
        <v>4661</v>
      </c>
      <c r="Y269">
        <v>433</v>
      </c>
      <c r="Z269" s="9" t="s">
        <v>62</v>
      </c>
      <c r="AA269">
        <f>X269+Y269</f>
        <v>5094</v>
      </c>
    </row>
    <row r="270" spans="1:27" ht="14.4" x14ac:dyDescent="0.3">
      <c r="A270" s="3" t="s">
        <v>520</v>
      </c>
      <c r="B270" s="3" t="s">
        <v>33</v>
      </c>
      <c r="C270" s="11" t="s">
        <v>521</v>
      </c>
      <c r="D270" s="3" t="s">
        <v>74</v>
      </c>
      <c r="E270" s="21" t="s">
        <v>85</v>
      </c>
      <c r="F270" s="14">
        <v>3575</v>
      </c>
      <c r="G270" s="14">
        <v>749</v>
      </c>
      <c r="H270" s="14">
        <v>111</v>
      </c>
      <c r="I270" s="14">
        <v>21450</v>
      </c>
      <c r="J270" s="14">
        <v>20785</v>
      </c>
      <c r="K270" s="14">
        <v>195</v>
      </c>
      <c r="L270" s="4" t="s">
        <v>37</v>
      </c>
      <c r="M270" s="5" t="s">
        <v>25</v>
      </c>
      <c r="N270" s="17" t="s">
        <v>37</v>
      </c>
      <c r="Q270" s="25">
        <f>(F270+G270+H270)/I270</f>
        <v>0.20675990675990677</v>
      </c>
      <c r="R270" s="15">
        <f t="shared" si="4"/>
        <v>4435</v>
      </c>
      <c r="T270">
        <v>160</v>
      </c>
      <c r="U270" s="9" t="s">
        <v>62</v>
      </c>
      <c r="V270">
        <f>RANK(T270, T:T)</f>
        <v>165</v>
      </c>
      <c r="W270"/>
      <c r="X270">
        <v>4134</v>
      </c>
      <c r="Y270">
        <v>99</v>
      </c>
      <c r="Z270" s="9" t="s">
        <v>37</v>
      </c>
      <c r="AA270">
        <f>X270+Y270</f>
        <v>4233</v>
      </c>
    </row>
    <row r="271" spans="1:27" ht="14.4" x14ac:dyDescent="0.3">
      <c r="A271" s="3" t="s">
        <v>522</v>
      </c>
      <c r="B271" s="3" t="s">
        <v>33</v>
      </c>
      <c r="C271" s="11" t="s">
        <v>488</v>
      </c>
      <c r="D271" s="3" t="s">
        <v>22</v>
      </c>
      <c r="E271" s="21" t="s">
        <v>113</v>
      </c>
      <c r="F271" s="14">
        <v>4941</v>
      </c>
      <c r="G271" s="14">
        <v>414</v>
      </c>
      <c r="H271" s="14">
        <v>266</v>
      </c>
      <c r="I271" s="14">
        <v>39528</v>
      </c>
      <c r="J271" s="14">
        <v>39154</v>
      </c>
      <c r="K271" s="14">
        <v>217</v>
      </c>
      <c r="L271" s="4" t="s">
        <v>30</v>
      </c>
      <c r="M271" s="5" t="s">
        <v>31</v>
      </c>
      <c r="N271" s="17" t="s">
        <v>30</v>
      </c>
      <c r="Q271" s="25">
        <f>(F271+G271+H271)/I271</f>
        <v>0.14220299534507186</v>
      </c>
      <c r="R271" s="15">
        <f t="shared" si="4"/>
        <v>5621</v>
      </c>
      <c r="T271">
        <v>208</v>
      </c>
      <c r="U271" s="9" t="s">
        <v>62</v>
      </c>
      <c r="V271">
        <f>RANK(T271, T:T)</f>
        <v>109</v>
      </c>
      <c r="W271"/>
      <c r="X271">
        <v>400</v>
      </c>
      <c r="Y271">
        <v>434</v>
      </c>
      <c r="Z271" s="9" t="s">
        <v>62</v>
      </c>
      <c r="AA271">
        <f>X271+Y271</f>
        <v>834</v>
      </c>
    </row>
    <row r="272" spans="1:27" ht="14.4" x14ac:dyDescent="0.3">
      <c r="A272" s="3" t="s">
        <v>523</v>
      </c>
      <c r="B272" s="3" t="s">
        <v>27</v>
      </c>
      <c r="C272" s="11" t="s">
        <v>524</v>
      </c>
      <c r="D272" s="3" t="s">
        <v>35</v>
      </c>
      <c r="E272" s="21" t="s">
        <v>154</v>
      </c>
      <c r="F272" s="14">
        <v>3641</v>
      </c>
      <c r="G272" s="14">
        <v>226</v>
      </c>
      <c r="H272" s="14">
        <v>46</v>
      </c>
      <c r="I272" s="14">
        <v>40051</v>
      </c>
      <c r="J272" s="14">
        <v>39319</v>
      </c>
      <c r="K272" s="14">
        <v>296</v>
      </c>
      <c r="L272" s="4" t="s">
        <v>37</v>
      </c>
      <c r="M272" s="5" t="s">
        <v>38</v>
      </c>
      <c r="N272" s="17" t="s">
        <v>37</v>
      </c>
      <c r="Q272" s="25">
        <f>(F272+G272+H272)/I272</f>
        <v>9.7700431949264685E-2</v>
      </c>
      <c r="R272" s="15">
        <f t="shared" si="4"/>
        <v>3913</v>
      </c>
      <c r="T272">
        <v>208</v>
      </c>
      <c r="U272" s="9" t="s">
        <v>37</v>
      </c>
      <c r="V272">
        <f>RANK(T272, T:T)</f>
        <v>109</v>
      </c>
      <c r="W272"/>
      <c r="X272">
        <v>3960</v>
      </c>
      <c r="Y272">
        <v>8</v>
      </c>
      <c r="Z272" s="9" t="s">
        <v>62</v>
      </c>
      <c r="AA272">
        <f>X272+Y272</f>
        <v>3968</v>
      </c>
    </row>
    <row r="273" spans="1:27" ht="14.4" x14ac:dyDescent="0.3">
      <c r="A273" s="3" t="s">
        <v>525</v>
      </c>
      <c r="B273" s="3" t="s">
        <v>14</v>
      </c>
      <c r="C273" s="11" t="s">
        <v>334</v>
      </c>
      <c r="D273" s="3" t="s">
        <v>45</v>
      </c>
      <c r="E273" s="21" t="s">
        <v>49</v>
      </c>
      <c r="F273" s="14">
        <v>3535</v>
      </c>
      <c r="G273" s="14">
        <v>494</v>
      </c>
      <c r="H273" s="14">
        <v>152</v>
      </c>
      <c r="I273" s="14">
        <v>53025</v>
      </c>
      <c r="J273" s="14">
        <v>52791</v>
      </c>
      <c r="K273" s="14">
        <v>44</v>
      </c>
      <c r="L273" s="4" t="s">
        <v>30</v>
      </c>
      <c r="M273" s="5" t="s">
        <v>38</v>
      </c>
      <c r="N273" s="17" t="s">
        <v>30</v>
      </c>
      <c r="Q273" s="25">
        <f>(F273+G273+H273)/I273</f>
        <v>7.8849599245638849E-2</v>
      </c>
      <c r="R273" s="15">
        <f t="shared" si="4"/>
        <v>4181</v>
      </c>
      <c r="T273">
        <v>208</v>
      </c>
      <c r="U273" s="9" t="s">
        <v>594</v>
      </c>
      <c r="V273">
        <f>RANK(T273, T:T)</f>
        <v>109</v>
      </c>
      <c r="W273"/>
      <c r="X273">
        <v>3960</v>
      </c>
      <c r="Y273">
        <v>8</v>
      </c>
      <c r="Z273" s="9" t="s">
        <v>37</v>
      </c>
      <c r="AA273">
        <f>X273+Y273</f>
        <v>3968</v>
      </c>
    </row>
    <row r="274" spans="1:27" ht="14.4" x14ac:dyDescent="0.3">
      <c r="A274" s="3" t="s">
        <v>526</v>
      </c>
      <c r="B274" s="3" t="s">
        <v>43</v>
      </c>
      <c r="C274" s="11" t="s">
        <v>499</v>
      </c>
      <c r="D274" s="3" t="s">
        <v>16</v>
      </c>
      <c r="E274" s="21" t="s">
        <v>65</v>
      </c>
      <c r="F274" s="14">
        <v>1741</v>
      </c>
      <c r="G274" s="14">
        <v>831</v>
      </c>
      <c r="H274" s="14">
        <v>345</v>
      </c>
      <c r="I274" s="14">
        <v>17410</v>
      </c>
      <c r="J274" s="14">
        <v>16844</v>
      </c>
      <c r="K274" s="14">
        <v>58</v>
      </c>
      <c r="L274" s="4" t="s">
        <v>37</v>
      </c>
      <c r="M274" s="5" t="s">
        <v>31</v>
      </c>
      <c r="N274" s="17" t="s">
        <v>37</v>
      </c>
      <c r="Q274" s="25">
        <f>(F274+G274+H274)/I274</f>
        <v>0.16754738655944859</v>
      </c>
      <c r="R274" s="15">
        <f t="shared" si="4"/>
        <v>2917</v>
      </c>
      <c r="T274">
        <v>212</v>
      </c>
      <c r="U274" s="9" t="s">
        <v>37</v>
      </c>
      <c r="V274">
        <f>RANK(T274, T:T)</f>
        <v>101</v>
      </c>
      <c r="W274"/>
      <c r="X274">
        <v>3960</v>
      </c>
      <c r="Y274">
        <v>8</v>
      </c>
      <c r="Z274" s="9" t="s">
        <v>594</v>
      </c>
      <c r="AA274">
        <f>X274+Y274</f>
        <v>3968</v>
      </c>
    </row>
    <row r="275" spans="1:27" ht="14.4" x14ac:dyDescent="0.3">
      <c r="A275" s="3" t="s">
        <v>527</v>
      </c>
      <c r="B275" s="3" t="s">
        <v>14</v>
      </c>
      <c r="C275" s="11" t="s">
        <v>528</v>
      </c>
      <c r="D275" s="3" t="s">
        <v>45</v>
      </c>
      <c r="E275" s="21" t="s">
        <v>49</v>
      </c>
      <c r="F275" s="14">
        <v>1556</v>
      </c>
      <c r="G275" s="14">
        <v>195</v>
      </c>
      <c r="H275" s="14">
        <v>131</v>
      </c>
      <c r="I275" s="14">
        <v>9336</v>
      </c>
      <c r="J275" s="14">
        <v>8875</v>
      </c>
      <c r="K275" s="14">
        <v>137</v>
      </c>
      <c r="L275" s="4" t="s">
        <v>30</v>
      </c>
      <c r="M275" s="5" t="s">
        <v>25</v>
      </c>
      <c r="N275" s="17" t="s">
        <v>30</v>
      </c>
      <c r="Q275" s="25">
        <f>(F275+G275+H275)/I275</f>
        <v>0.2015852613538989</v>
      </c>
      <c r="R275" s="15">
        <f t="shared" si="4"/>
        <v>1882</v>
      </c>
      <c r="T275">
        <v>254</v>
      </c>
      <c r="U275" s="9" t="s">
        <v>37</v>
      </c>
      <c r="V275">
        <f>RANK(T275, T:T)</f>
        <v>43</v>
      </c>
      <c r="W275"/>
      <c r="X275">
        <v>886</v>
      </c>
      <c r="Y275">
        <v>153</v>
      </c>
      <c r="Z275" s="9" t="s">
        <v>37</v>
      </c>
      <c r="AA275">
        <f>X275+Y275</f>
        <v>1039</v>
      </c>
    </row>
    <row r="276" spans="1:27" ht="14.4" x14ac:dyDescent="0.3">
      <c r="A276" s="3" t="s">
        <v>529</v>
      </c>
      <c r="B276" s="3" t="s">
        <v>43</v>
      </c>
      <c r="C276" s="11" t="s">
        <v>290</v>
      </c>
      <c r="D276" s="3" t="s">
        <v>52</v>
      </c>
      <c r="E276" s="21" t="s">
        <v>59</v>
      </c>
      <c r="F276" s="14">
        <v>4236</v>
      </c>
      <c r="G276" s="14">
        <v>711</v>
      </c>
      <c r="H276" s="14">
        <v>298</v>
      </c>
      <c r="I276" s="14">
        <v>21180</v>
      </c>
      <c r="J276" s="14">
        <v>20516</v>
      </c>
      <c r="K276" s="14">
        <v>238</v>
      </c>
      <c r="L276" s="4" t="s">
        <v>62</v>
      </c>
      <c r="M276" s="5" t="s">
        <v>19</v>
      </c>
      <c r="N276" s="17" t="s">
        <v>62</v>
      </c>
      <c r="Q276" s="25">
        <f>(F276+G276+H276)/I276</f>
        <v>0.24763928234183191</v>
      </c>
      <c r="R276" s="15">
        <f t="shared" si="4"/>
        <v>5245</v>
      </c>
      <c r="T276">
        <v>251</v>
      </c>
      <c r="U276" s="9" t="s">
        <v>62</v>
      </c>
      <c r="V276">
        <f>RANK(T276, T:T)</f>
        <v>45</v>
      </c>
      <c r="W276"/>
      <c r="X276">
        <v>827</v>
      </c>
      <c r="Y276">
        <v>402</v>
      </c>
      <c r="Z276" s="9" t="s">
        <v>37</v>
      </c>
      <c r="AA276">
        <f>X276+Y276</f>
        <v>1229</v>
      </c>
    </row>
    <row r="277" spans="1:27" ht="14.4" x14ac:dyDescent="0.3">
      <c r="A277" s="3" t="s">
        <v>530</v>
      </c>
      <c r="B277" s="3" t="s">
        <v>14</v>
      </c>
      <c r="C277" s="11" t="s">
        <v>531</v>
      </c>
      <c r="D277" s="3" t="s">
        <v>22</v>
      </c>
      <c r="E277" s="21" t="s">
        <v>23</v>
      </c>
      <c r="F277" s="14">
        <v>4516</v>
      </c>
      <c r="G277" s="14">
        <v>836</v>
      </c>
      <c r="H277" s="14">
        <v>169</v>
      </c>
      <c r="I277" s="14">
        <v>49676</v>
      </c>
      <c r="J277" s="14">
        <v>49257</v>
      </c>
      <c r="K277" s="14">
        <v>282</v>
      </c>
      <c r="L277" s="4" t="s">
        <v>37</v>
      </c>
      <c r="M277" s="5" t="s">
        <v>38</v>
      </c>
      <c r="N277" s="17" t="s">
        <v>37</v>
      </c>
      <c r="Q277" s="25">
        <f>(F277+G277+H277)/I277</f>
        <v>0.11114018842096787</v>
      </c>
      <c r="R277" s="15">
        <f t="shared" si="4"/>
        <v>5521</v>
      </c>
      <c r="T277">
        <v>189</v>
      </c>
      <c r="U277" s="9" t="s">
        <v>62</v>
      </c>
      <c r="V277">
        <f>RANK(T277, T:T)</f>
        <v>136</v>
      </c>
      <c r="W277"/>
      <c r="X277">
        <v>3813</v>
      </c>
      <c r="Y277">
        <v>274</v>
      </c>
      <c r="Z277" s="9" t="s">
        <v>62</v>
      </c>
      <c r="AA277">
        <f>X277+Y277</f>
        <v>4087</v>
      </c>
    </row>
    <row r="278" spans="1:27" ht="14.4" x14ac:dyDescent="0.3">
      <c r="A278" s="3" t="s">
        <v>532</v>
      </c>
      <c r="B278" s="3" t="s">
        <v>27</v>
      </c>
      <c r="C278" s="11" t="s">
        <v>195</v>
      </c>
      <c r="D278" s="3" t="s">
        <v>52</v>
      </c>
      <c r="E278" s="21" t="s">
        <v>53</v>
      </c>
      <c r="F278" s="14">
        <v>4905</v>
      </c>
      <c r="G278" s="14">
        <v>845</v>
      </c>
      <c r="H278" s="14">
        <v>129</v>
      </c>
      <c r="I278" s="14">
        <v>98100</v>
      </c>
      <c r="J278" s="14">
        <v>97772</v>
      </c>
      <c r="K278" s="14">
        <v>279</v>
      </c>
      <c r="L278" s="4" t="s">
        <v>30</v>
      </c>
      <c r="M278" s="5" t="s">
        <v>25</v>
      </c>
      <c r="N278" s="17" t="s">
        <v>30</v>
      </c>
      <c r="Q278" s="25">
        <f>(F278+G278+H278)/I278</f>
        <v>5.9928644240570844E-2</v>
      </c>
      <c r="R278" s="15">
        <f t="shared" si="4"/>
        <v>5879</v>
      </c>
      <c r="T278">
        <v>64</v>
      </c>
      <c r="U278" s="9" t="s">
        <v>62</v>
      </c>
      <c r="V278">
        <f>RANK(T278, T:T)</f>
        <v>261</v>
      </c>
      <c r="W278"/>
      <c r="X278">
        <v>1377</v>
      </c>
      <c r="Y278">
        <v>387</v>
      </c>
      <c r="Z278" s="9" t="s">
        <v>62</v>
      </c>
      <c r="AA278">
        <f>X278+Y278</f>
        <v>1764</v>
      </c>
    </row>
    <row r="279" spans="1:27" ht="14.4" x14ac:dyDescent="0.3">
      <c r="A279" s="3" t="s">
        <v>533</v>
      </c>
      <c r="B279" s="3" t="s">
        <v>27</v>
      </c>
      <c r="C279" s="11" t="s">
        <v>168</v>
      </c>
      <c r="D279" s="3" t="s">
        <v>74</v>
      </c>
      <c r="E279" s="21" t="s">
        <v>219</v>
      </c>
      <c r="F279" s="14">
        <v>4275</v>
      </c>
      <c r="G279" s="14">
        <v>680</v>
      </c>
      <c r="H279" s="14">
        <v>385</v>
      </c>
      <c r="I279" s="14">
        <v>64125</v>
      </c>
      <c r="J279" s="14">
        <v>63650</v>
      </c>
      <c r="K279" s="14">
        <v>104</v>
      </c>
      <c r="L279" s="4" t="s">
        <v>175</v>
      </c>
      <c r="M279" s="5" t="s">
        <v>38</v>
      </c>
      <c r="N279" s="17" t="s">
        <v>37</v>
      </c>
      <c r="O279" s="17" t="s">
        <v>30</v>
      </c>
      <c r="P279" s="17" t="s">
        <v>593</v>
      </c>
      <c r="Q279" s="25">
        <f>(F279+G279+H279)/I279</f>
        <v>8.3274853801169585E-2</v>
      </c>
      <c r="R279" s="15">
        <f t="shared" si="4"/>
        <v>5340</v>
      </c>
      <c r="T279">
        <v>205</v>
      </c>
      <c r="U279" s="9" t="s">
        <v>37</v>
      </c>
      <c r="V279">
        <f>RANK(T279, T:T)</f>
        <v>113</v>
      </c>
      <c r="W279"/>
      <c r="X279">
        <v>2089</v>
      </c>
      <c r="Y279">
        <v>69</v>
      </c>
      <c r="Z279" s="9" t="s">
        <v>62</v>
      </c>
      <c r="AA279">
        <f>X279+Y279</f>
        <v>2158</v>
      </c>
    </row>
    <row r="280" spans="1:27" ht="14.4" x14ac:dyDescent="0.3">
      <c r="A280" s="3" t="s">
        <v>534</v>
      </c>
      <c r="B280" s="3" t="s">
        <v>27</v>
      </c>
      <c r="C280" s="11" t="s">
        <v>535</v>
      </c>
      <c r="D280" s="3" t="s">
        <v>52</v>
      </c>
      <c r="E280" s="21" t="s">
        <v>53</v>
      </c>
      <c r="F280" s="14">
        <v>3166</v>
      </c>
      <c r="G280" s="14">
        <v>90</v>
      </c>
      <c r="H280" s="14">
        <v>341</v>
      </c>
      <c r="I280" s="14">
        <v>56988</v>
      </c>
      <c r="J280" s="14">
        <v>56125</v>
      </c>
      <c r="K280" s="14">
        <v>135</v>
      </c>
      <c r="L280" s="4" t="s">
        <v>37</v>
      </c>
      <c r="M280" s="5" t="s">
        <v>25</v>
      </c>
      <c r="N280" s="17" t="s">
        <v>37</v>
      </c>
      <c r="Q280" s="25">
        <f>(F280+G280+H280)/I280</f>
        <v>6.3118551273952411E-2</v>
      </c>
      <c r="R280" s="15">
        <f t="shared" si="4"/>
        <v>3597</v>
      </c>
      <c r="T280">
        <v>224</v>
      </c>
      <c r="U280" s="9" t="s">
        <v>62</v>
      </c>
      <c r="V280">
        <f>RANK(T280, T:T)</f>
        <v>88</v>
      </c>
      <c r="W280"/>
      <c r="X280">
        <v>3791</v>
      </c>
      <c r="Y280">
        <v>228</v>
      </c>
      <c r="Z280" s="9" t="s">
        <v>37</v>
      </c>
      <c r="AA280">
        <f>X280+Y280</f>
        <v>4019</v>
      </c>
    </row>
    <row r="281" spans="1:27" ht="14.4" x14ac:dyDescent="0.3">
      <c r="A281" s="3" t="s">
        <v>536</v>
      </c>
      <c r="B281" s="3" t="s">
        <v>33</v>
      </c>
      <c r="C281" s="11" t="s">
        <v>537</v>
      </c>
      <c r="D281" s="3" t="s">
        <v>74</v>
      </c>
      <c r="E281" s="21" t="s">
        <v>85</v>
      </c>
      <c r="F281" s="14">
        <v>1488</v>
      </c>
      <c r="G281" s="14">
        <v>417</v>
      </c>
      <c r="H281" s="14">
        <v>168</v>
      </c>
      <c r="I281" s="14">
        <v>19344</v>
      </c>
      <c r="J281" s="14">
        <v>18395</v>
      </c>
      <c r="K281" s="14">
        <v>30</v>
      </c>
      <c r="L281" s="4" t="s">
        <v>62</v>
      </c>
      <c r="M281" s="5" t="s">
        <v>31</v>
      </c>
      <c r="N281" s="17" t="s">
        <v>62</v>
      </c>
      <c r="Q281" s="25">
        <f>(F281+G281+H281)/I281</f>
        <v>0.1071650124069479</v>
      </c>
      <c r="R281" s="15">
        <f t="shared" si="4"/>
        <v>2073</v>
      </c>
      <c r="T281">
        <v>226</v>
      </c>
      <c r="U281" s="9" t="s">
        <v>62</v>
      </c>
      <c r="V281">
        <f>RANK(T281, T:T)</f>
        <v>84</v>
      </c>
      <c r="W281"/>
      <c r="X281">
        <v>2692</v>
      </c>
      <c r="Y281">
        <v>64</v>
      </c>
      <c r="Z281" s="9" t="s">
        <v>62</v>
      </c>
      <c r="AA281">
        <f>X281+Y281</f>
        <v>2756</v>
      </c>
    </row>
    <row r="282" spans="1:27" ht="14.4" x14ac:dyDescent="0.3">
      <c r="A282" s="3" t="s">
        <v>538</v>
      </c>
      <c r="B282" s="3" t="s">
        <v>14</v>
      </c>
      <c r="C282" s="11" t="s">
        <v>539</v>
      </c>
      <c r="D282" s="3" t="s">
        <v>16</v>
      </c>
      <c r="E282" s="21" t="s">
        <v>17</v>
      </c>
      <c r="F282" s="14">
        <v>3367</v>
      </c>
      <c r="G282" s="14">
        <v>302</v>
      </c>
      <c r="H282" s="14">
        <v>57</v>
      </c>
      <c r="I282" s="14">
        <v>63973</v>
      </c>
      <c r="J282" s="14">
        <v>63789</v>
      </c>
      <c r="K282" s="14">
        <v>157</v>
      </c>
      <c r="L282" s="4" t="s">
        <v>62</v>
      </c>
      <c r="M282" s="5" t="s">
        <v>25</v>
      </c>
      <c r="N282" s="17" t="s">
        <v>62</v>
      </c>
      <c r="Q282" s="25">
        <f>(F282+G282+H282)/I282</f>
        <v>5.8243321401216137E-2</v>
      </c>
      <c r="R282" s="15">
        <f t="shared" si="4"/>
        <v>3726</v>
      </c>
      <c r="T282">
        <v>248</v>
      </c>
      <c r="U282" s="9" t="s">
        <v>37</v>
      </c>
      <c r="V282">
        <f>RANK(T282, T:T)</f>
        <v>49</v>
      </c>
      <c r="W282"/>
      <c r="X282">
        <v>3767</v>
      </c>
      <c r="Y282">
        <v>238</v>
      </c>
      <c r="Z282" s="9" t="s">
        <v>62</v>
      </c>
      <c r="AA282">
        <f>X282+Y282</f>
        <v>4005</v>
      </c>
    </row>
    <row r="283" spans="1:27" ht="14.4" x14ac:dyDescent="0.3">
      <c r="A283" s="3" t="s">
        <v>540</v>
      </c>
      <c r="B283" s="3" t="s">
        <v>14</v>
      </c>
      <c r="C283" s="11" t="s">
        <v>103</v>
      </c>
      <c r="D283" s="3" t="s">
        <v>22</v>
      </c>
      <c r="E283" s="21" t="s">
        <v>23</v>
      </c>
      <c r="F283" s="14">
        <v>571</v>
      </c>
      <c r="G283" s="14">
        <v>190</v>
      </c>
      <c r="H283" s="14">
        <v>352</v>
      </c>
      <c r="I283" s="14">
        <v>9707</v>
      </c>
      <c r="J283" s="14">
        <v>9418</v>
      </c>
      <c r="K283" s="14">
        <v>231</v>
      </c>
      <c r="L283" s="4" t="s">
        <v>30</v>
      </c>
      <c r="M283" s="5" t="s">
        <v>38</v>
      </c>
      <c r="N283" s="17" t="s">
        <v>30</v>
      </c>
      <c r="Q283" s="25">
        <f>(F283+G283+H283)/I283</f>
        <v>0.11465952405480581</v>
      </c>
      <c r="R283" s="15">
        <f t="shared" si="4"/>
        <v>1113</v>
      </c>
      <c r="T283">
        <v>25</v>
      </c>
      <c r="U283" s="9" t="s">
        <v>37</v>
      </c>
      <c r="V283">
        <f>RANK(T283, T:T)</f>
        <v>304</v>
      </c>
      <c r="W283"/>
      <c r="X283">
        <v>2143</v>
      </c>
      <c r="Y283">
        <v>204</v>
      </c>
      <c r="Z283" s="9" t="s">
        <v>37</v>
      </c>
      <c r="AA283">
        <f>X283+Y283</f>
        <v>2347</v>
      </c>
    </row>
    <row r="284" spans="1:27" ht="14.4" x14ac:dyDescent="0.3">
      <c r="A284" s="3" t="s">
        <v>541</v>
      </c>
      <c r="B284" s="3" t="s">
        <v>27</v>
      </c>
      <c r="C284" s="11" t="s">
        <v>428</v>
      </c>
      <c r="D284" s="3" t="s">
        <v>22</v>
      </c>
      <c r="E284" s="21" t="s">
        <v>104</v>
      </c>
      <c r="F284" s="14">
        <v>4021</v>
      </c>
      <c r="G284" s="14">
        <v>794</v>
      </c>
      <c r="H284" s="14">
        <v>77</v>
      </c>
      <c r="I284" s="14">
        <v>36189</v>
      </c>
      <c r="J284" s="14">
        <v>35505</v>
      </c>
      <c r="K284" s="14">
        <v>174</v>
      </c>
      <c r="L284" s="4" t="s">
        <v>37</v>
      </c>
      <c r="M284" s="5"/>
      <c r="N284" s="17" t="s">
        <v>37</v>
      </c>
      <c r="Q284" s="25">
        <f>(F284+G284+H284)/I284</f>
        <v>0.13517919809886983</v>
      </c>
      <c r="R284" s="15">
        <f t="shared" si="4"/>
        <v>4892</v>
      </c>
      <c r="T284">
        <v>25</v>
      </c>
      <c r="U284" s="9" t="s">
        <v>37</v>
      </c>
      <c r="V284">
        <f>RANK(T284, T:T)</f>
        <v>304</v>
      </c>
      <c r="W284"/>
      <c r="X284">
        <v>3090</v>
      </c>
      <c r="Y284">
        <v>164</v>
      </c>
      <c r="Z284" s="9" t="s">
        <v>37</v>
      </c>
      <c r="AA284">
        <f>X284+Y284</f>
        <v>3254</v>
      </c>
    </row>
    <row r="285" spans="1:27" ht="14.4" x14ac:dyDescent="0.3">
      <c r="A285" s="3" t="s">
        <v>542</v>
      </c>
      <c r="B285" s="3" t="s">
        <v>27</v>
      </c>
      <c r="C285" s="11" t="s">
        <v>543</v>
      </c>
      <c r="D285" s="3" t="s">
        <v>74</v>
      </c>
      <c r="E285" s="21" t="s">
        <v>219</v>
      </c>
      <c r="F285" s="14">
        <v>3389</v>
      </c>
      <c r="G285" s="14">
        <v>344</v>
      </c>
      <c r="H285" s="14">
        <v>229</v>
      </c>
      <c r="I285" s="14">
        <v>20334</v>
      </c>
      <c r="J285" s="14">
        <v>19443</v>
      </c>
      <c r="K285" s="14">
        <v>228</v>
      </c>
      <c r="L285" s="4" t="s">
        <v>62</v>
      </c>
      <c r="M285" s="5" t="s">
        <v>31</v>
      </c>
      <c r="N285" s="17" t="s">
        <v>62</v>
      </c>
      <c r="Q285" s="25">
        <f>(F285+G285+H285)/I285</f>
        <v>0.19484607062063539</v>
      </c>
      <c r="R285" s="15">
        <f t="shared" si="4"/>
        <v>3962</v>
      </c>
      <c r="T285">
        <v>25</v>
      </c>
      <c r="U285" s="9" t="s">
        <v>594</v>
      </c>
      <c r="V285">
        <f>RANK(T285, T:T)</f>
        <v>304</v>
      </c>
      <c r="W285"/>
      <c r="X285">
        <v>3090</v>
      </c>
      <c r="Y285">
        <v>164</v>
      </c>
      <c r="Z285" s="9" t="s">
        <v>37</v>
      </c>
      <c r="AA285">
        <f>X285+Y285</f>
        <v>3254</v>
      </c>
    </row>
    <row r="286" spans="1:27" ht="14.4" x14ac:dyDescent="0.3">
      <c r="A286" s="3" t="s">
        <v>544</v>
      </c>
      <c r="B286" s="3" t="s">
        <v>33</v>
      </c>
      <c r="C286" s="11" t="s">
        <v>402</v>
      </c>
      <c r="D286" s="3" t="s">
        <v>16</v>
      </c>
      <c r="E286" s="21" t="s">
        <v>82</v>
      </c>
      <c r="F286" s="14">
        <v>1164</v>
      </c>
      <c r="G286" s="14">
        <v>616</v>
      </c>
      <c r="H286" s="14">
        <v>324</v>
      </c>
      <c r="I286" s="14">
        <v>6984</v>
      </c>
      <c r="J286" s="14">
        <v>6636</v>
      </c>
      <c r="K286" s="14">
        <v>82</v>
      </c>
      <c r="L286" s="4" t="s">
        <v>37</v>
      </c>
      <c r="M286" s="5" t="s">
        <v>19</v>
      </c>
      <c r="N286" s="17" t="s">
        <v>37</v>
      </c>
      <c r="Q286" s="25">
        <f>(F286+G286+H286)/I286</f>
        <v>0.30126002290950743</v>
      </c>
      <c r="R286" s="15">
        <f t="shared" si="4"/>
        <v>2104</v>
      </c>
      <c r="T286">
        <v>172</v>
      </c>
      <c r="U286" s="9" t="s">
        <v>37</v>
      </c>
      <c r="V286">
        <f>RANK(T286, T:T)</f>
        <v>152</v>
      </c>
      <c r="W286"/>
      <c r="X286">
        <v>3090</v>
      </c>
      <c r="Y286">
        <v>164</v>
      </c>
      <c r="Z286" s="9" t="s">
        <v>594</v>
      </c>
      <c r="AA286">
        <f>X286+Y286</f>
        <v>3254</v>
      </c>
    </row>
    <row r="287" spans="1:27" ht="14.4" x14ac:dyDescent="0.3">
      <c r="A287" s="3" t="s">
        <v>545</v>
      </c>
      <c r="B287" s="3" t="s">
        <v>27</v>
      </c>
      <c r="C287" s="11" t="s">
        <v>546</v>
      </c>
      <c r="D287" s="3" t="s">
        <v>45</v>
      </c>
      <c r="E287" s="21" t="s">
        <v>68</v>
      </c>
      <c r="F287" s="14">
        <v>4780</v>
      </c>
      <c r="G287" s="14">
        <v>691</v>
      </c>
      <c r="H287" s="14">
        <v>380</v>
      </c>
      <c r="I287" s="14">
        <v>86040</v>
      </c>
      <c r="J287" s="14">
        <v>85743</v>
      </c>
      <c r="K287" s="14">
        <v>262</v>
      </c>
      <c r="L287" s="4" t="s">
        <v>62</v>
      </c>
      <c r="M287" s="5" t="s">
        <v>31</v>
      </c>
      <c r="N287" s="17" t="s">
        <v>62</v>
      </c>
      <c r="Q287" s="25">
        <f>(F287+G287+H287)/I287</f>
        <v>6.800325430032543E-2</v>
      </c>
      <c r="R287" s="15">
        <f t="shared" si="4"/>
        <v>5851</v>
      </c>
      <c r="T287">
        <v>93</v>
      </c>
      <c r="U287" s="9" t="s">
        <v>30</v>
      </c>
      <c r="V287">
        <f>RANK(T287, T:T)</f>
        <v>232</v>
      </c>
      <c r="W287"/>
      <c r="X287">
        <v>3601</v>
      </c>
      <c r="Y287">
        <v>75</v>
      </c>
      <c r="Z287" s="9" t="s">
        <v>37</v>
      </c>
      <c r="AA287">
        <f>X287+Y287</f>
        <v>3676</v>
      </c>
    </row>
    <row r="288" spans="1:27" ht="14.4" x14ac:dyDescent="0.3">
      <c r="A288" s="3" t="s">
        <v>547</v>
      </c>
      <c r="B288" s="3" t="s">
        <v>43</v>
      </c>
      <c r="C288" s="11" t="s">
        <v>305</v>
      </c>
      <c r="D288" s="3" t="s">
        <v>45</v>
      </c>
      <c r="E288" s="21" t="s">
        <v>46</v>
      </c>
      <c r="F288" s="14">
        <v>2751</v>
      </c>
      <c r="G288" s="14">
        <v>33</v>
      </c>
      <c r="H288" s="14">
        <v>430</v>
      </c>
      <c r="I288" s="14">
        <v>44016</v>
      </c>
      <c r="J288" s="14">
        <v>43415</v>
      </c>
      <c r="K288" s="14">
        <v>129</v>
      </c>
      <c r="L288" s="4" t="s">
        <v>62</v>
      </c>
      <c r="M288" s="5"/>
      <c r="N288" s="17" t="s">
        <v>62</v>
      </c>
      <c r="Q288" s="25">
        <f>(F288+G288+H288)/I288</f>
        <v>7.3018902217375503E-2</v>
      </c>
      <c r="R288" s="15">
        <f t="shared" si="4"/>
        <v>3214</v>
      </c>
      <c r="T288">
        <v>10</v>
      </c>
      <c r="U288" s="9" t="s">
        <v>30</v>
      </c>
      <c r="V288">
        <f>RANK(T288, T:T)</f>
        <v>331</v>
      </c>
      <c r="W288"/>
      <c r="X288">
        <v>562</v>
      </c>
      <c r="Y288">
        <v>149</v>
      </c>
      <c r="Z288" s="9" t="s">
        <v>30</v>
      </c>
      <c r="AA288">
        <f>X288+Y288</f>
        <v>711</v>
      </c>
    </row>
    <row r="289" spans="1:27" ht="14.4" x14ac:dyDescent="0.3">
      <c r="A289" s="3" t="s">
        <v>548</v>
      </c>
      <c r="B289" s="3" t="s">
        <v>33</v>
      </c>
      <c r="C289" s="11" t="s">
        <v>549</v>
      </c>
      <c r="D289" s="3" t="s">
        <v>45</v>
      </c>
      <c r="E289" s="21" t="s">
        <v>88</v>
      </c>
      <c r="F289" s="14">
        <v>2107</v>
      </c>
      <c r="G289" s="14">
        <v>550</v>
      </c>
      <c r="H289" s="14">
        <v>349</v>
      </c>
      <c r="I289" s="14">
        <v>35819</v>
      </c>
      <c r="J289" s="14">
        <v>35340</v>
      </c>
      <c r="K289" s="14">
        <v>191</v>
      </c>
      <c r="L289" s="4" t="s">
        <v>37</v>
      </c>
      <c r="M289" s="5" t="s">
        <v>38</v>
      </c>
      <c r="N289" s="17" t="s">
        <v>37</v>
      </c>
      <c r="Q289" s="25">
        <f>(F289+G289+H289)/I289</f>
        <v>8.3921940869371006E-2</v>
      </c>
      <c r="R289" s="15">
        <f t="shared" si="4"/>
        <v>3006</v>
      </c>
      <c r="T289">
        <v>10</v>
      </c>
      <c r="U289" s="9" t="s">
        <v>37</v>
      </c>
      <c r="V289">
        <f>RANK(T289, T:T)</f>
        <v>331</v>
      </c>
      <c r="W289"/>
      <c r="X289">
        <v>4332</v>
      </c>
      <c r="Y289">
        <v>219</v>
      </c>
      <c r="Z289" s="9" t="s">
        <v>30</v>
      </c>
      <c r="AA289">
        <f>X289+Y289</f>
        <v>4551</v>
      </c>
    </row>
    <row r="290" spans="1:27" ht="14.4" x14ac:dyDescent="0.3">
      <c r="A290" s="3" t="s">
        <v>550</v>
      </c>
      <c r="B290" s="3" t="s">
        <v>43</v>
      </c>
      <c r="C290" s="11" t="s">
        <v>94</v>
      </c>
      <c r="D290" s="3" t="s">
        <v>74</v>
      </c>
      <c r="E290" s="21" t="s">
        <v>75</v>
      </c>
      <c r="F290" s="14">
        <v>4663</v>
      </c>
      <c r="G290" s="14">
        <v>145</v>
      </c>
      <c r="H290" s="14">
        <v>225</v>
      </c>
      <c r="I290" s="14">
        <v>69945</v>
      </c>
      <c r="J290" s="14">
        <v>69596</v>
      </c>
      <c r="K290" s="14">
        <v>35</v>
      </c>
      <c r="L290" s="4" t="s">
        <v>37</v>
      </c>
      <c r="M290" s="5" t="s">
        <v>38</v>
      </c>
      <c r="N290" s="17" t="s">
        <v>37</v>
      </c>
      <c r="Q290" s="25">
        <f>(F290+G290+H290)/I290</f>
        <v>7.1956537279290869E-2</v>
      </c>
      <c r="R290" s="15">
        <f t="shared" si="4"/>
        <v>5033</v>
      </c>
      <c r="T290">
        <v>10</v>
      </c>
      <c r="U290" s="9" t="s">
        <v>594</v>
      </c>
      <c r="V290">
        <f>RANK(T290, T:T)</f>
        <v>331</v>
      </c>
      <c r="W290"/>
      <c r="X290">
        <v>4332</v>
      </c>
      <c r="Y290">
        <v>219</v>
      </c>
      <c r="Z290" s="9" t="s">
        <v>37</v>
      </c>
      <c r="AA290">
        <f>X290+Y290</f>
        <v>4551</v>
      </c>
    </row>
    <row r="291" spans="1:27" ht="14.4" x14ac:dyDescent="0.3">
      <c r="A291" s="3" t="s">
        <v>551</v>
      </c>
      <c r="B291" s="3" t="s">
        <v>43</v>
      </c>
      <c r="C291" s="11" t="s">
        <v>552</v>
      </c>
      <c r="D291" s="3" t="s">
        <v>22</v>
      </c>
      <c r="E291" s="21" t="s">
        <v>56</v>
      </c>
      <c r="F291" s="14">
        <v>880</v>
      </c>
      <c r="G291" s="14">
        <v>297</v>
      </c>
      <c r="H291" s="14">
        <v>345</v>
      </c>
      <c r="I291" s="14">
        <v>12320</v>
      </c>
      <c r="J291" s="14">
        <v>11978</v>
      </c>
      <c r="K291" s="14">
        <v>238</v>
      </c>
      <c r="L291" s="4" t="s">
        <v>95</v>
      </c>
      <c r="M291" s="5"/>
      <c r="N291" s="17" t="s">
        <v>30</v>
      </c>
      <c r="O291" s="17" t="s">
        <v>593</v>
      </c>
      <c r="Q291" s="25">
        <f>(F291+G291+H291)/I291</f>
        <v>0.12353896103896105</v>
      </c>
      <c r="R291" s="15">
        <f t="shared" si="4"/>
        <v>1522</v>
      </c>
      <c r="T291">
        <v>170</v>
      </c>
      <c r="U291" s="9" t="s">
        <v>37</v>
      </c>
      <c r="V291">
        <f>RANK(T291, T:T)</f>
        <v>155</v>
      </c>
      <c r="W291"/>
      <c r="X291">
        <v>4332</v>
      </c>
      <c r="Y291">
        <v>219</v>
      </c>
      <c r="Z291" s="9" t="s">
        <v>594</v>
      </c>
      <c r="AA291">
        <f>X291+Y291</f>
        <v>4551</v>
      </c>
    </row>
    <row r="292" spans="1:27" ht="14.4" x14ac:dyDescent="0.3">
      <c r="A292" s="3" t="s">
        <v>553</v>
      </c>
      <c r="B292" s="3" t="s">
        <v>43</v>
      </c>
      <c r="C292" s="11" t="s">
        <v>554</v>
      </c>
      <c r="D292" s="3" t="s">
        <v>22</v>
      </c>
      <c r="E292" s="21" t="s">
        <v>56</v>
      </c>
      <c r="F292" s="14">
        <v>2634</v>
      </c>
      <c r="G292" s="14">
        <v>726</v>
      </c>
      <c r="H292" s="14">
        <v>241</v>
      </c>
      <c r="I292" s="14">
        <v>28974</v>
      </c>
      <c r="J292" s="14">
        <v>28102</v>
      </c>
      <c r="K292" s="14">
        <v>277</v>
      </c>
      <c r="L292" s="4" t="s">
        <v>37</v>
      </c>
      <c r="M292" s="5" t="s">
        <v>19</v>
      </c>
      <c r="N292" s="17" t="s">
        <v>37</v>
      </c>
      <c r="Q292" s="25">
        <f>(F292+G292+H292)/I292</f>
        <v>0.12428384068475185</v>
      </c>
      <c r="R292" s="15">
        <f t="shared" si="4"/>
        <v>3601</v>
      </c>
      <c r="T292">
        <v>237</v>
      </c>
      <c r="U292" s="9" t="s">
        <v>30</v>
      </c>
      <c r="V292">
        <f>RANK(T292, T:T)</f>
        <v>68</v>
      </c>
      <c r="W292"/>
      <c r="X292">
        <v>4853</v>
      </c>
      <c r="Y292">
        <v>340</v>
      </c>
      <c r="Z292" s="9" t="s">
        <v>37</v>
      </c>
      <c r="AA292">
        <f>X292+Y292</f>
        <v>5193</v>
      </c>
    </row>
    <row r="293" spans="1:27" ht="14.4" x14ac:dyDescent="0.3">
      <c r="A293" s="3" t="s">
        <v>555</v>
      </c>
      <c r="B293" s="3" t="s">
        <v>43</v>
      </c>
      <c r="C293" s="11" t="s">
        <v>556</v>
      </c>
      <c r="D293" s="3" t="s">
        <v>45</v>
      </c>
      <c r="E293" s="21" t="s">
        <v>46</v>
      </c>
      <c r="F293" s="14">
        <v>4731</v>
      </c>
      <c r="G293" s="14">
        <v>173</v>
      </c>
      <c r="H293" s="14">
        <v>276</v>
      </c>
      <c r="I293" s="14">
        <v>28386</v>
      </c>
      <c r="J293" s="14">
        <v>28185</v>
      </c>
      <c r="K293" s="14">
        <v>89</v>
      </c>
      <c r="L293" s="4" t="s">
        <v>37</v>
      </c>
      <c r="M293" s="5" t="s">
        <v>31</v>
      </c>
      <c r="N293" s="17" t="s">
        <v>37</v>
      </c>
      <c r="Q293" s="25">
        <f>(F293+G293+H293)/I293</f>
        <v>0.18248432325794406</v>
      </c>
      <c r="R293" s="15">
        <f t="shared" si="4"/>
        <v>5180</v>
      </c>
      <c r="T293">
        <v>20</v>
      </c>
      <c r="U293" s="9" t="s">
        <v>62</v>
      </c>
      <c r="V293">
        <f>RANK(T293, T:T)</f>
        <v>316</v>
      </c>
      <c r="W293"/>
      <c r="X293">
        <v>1206</v>
      </c>
      <c r="Y293">
        <v>36</v>
      </c>
      <c r="Z293" s="9" t="s">
        <v>30</v>
      </c>
      <c r="AA293">
        <f>X293+Y293</f>
        <v>1242</v>
      </c>
    </row>
    <row r="294" spans="1:27" ht="14.4" x14ac:dyDescent="0.3">
      <c r="A294" s="3" t="s">
        <v>557</v>
      </c>
      <c r="B294" s="3" t="s">
        <v>14</v>
      </c>
      <c r="C294" s="11" t="s">
        <v>434</v>
      </c>
      <c r="D294" s="3" t="s">
        <v>52</v>
      </c>
      <c r="E294" s="21" t="s">
        <v>132</v>
      </c>
      <c r="F294" s="14">
        <v>1952</v>
      </c>
      <c r="G294" s="14">
        <v>344</v>
      </c>
      <c r="H294" s="14">
        <v>287</v>
      </c>
      <c r="I294" s="14">
        <v>15616</v>
      </c>
      <c r="J294" s="14">
        <v>15403</v>
      </c>
      <c r="K294" s="14">
        <v>235</v>
      </c>
      <c r="L294" s="4" t="s">
        <v>216</v>
      </c>
      <c r="M294" s="5" t="s">
        <v>25</v>
      </c>
      <c r="N294" s="17" t="s">
        <v>62</v>
      </c>
      <c r="O294" s="17" t="s">
        <v>30</v>
      </c>
      <c r="P294" s="17" t="s">
        <v>593</v>
      </c>
      <c r="Q294" s="25">
        <f>(F294+G294+H294)/I294</f>
        <v>0.16540727459016394</v>
      </c>
      <c r="R294" s="15">
        <f t="shared" si="4"/>
        <v>2583</v>
      </c>
      <c r="T294">
        <v>293</v>
      </c>
      <c r="U294" s="9" t="s">
        <v>30</v>
      </c>
      <c r="V294">
        <f>RANK(T294, T:T)</f>
        <v>7</v>
      </c>
      <c r="W294"/>
      <c r="X294">
        <v>2603</v>
      </c>
      <c r="Y294">
        <v>205</v>
      </c>
      <c r="Z294" s="9" t="s">
        <v>62</v>
      </c>
      <c r="AA294">
        <f>X294+Y294</f>
        <v>2808</v>
      </c>
    </row>
    <row r="295" spans="1:27" ht="14.4" x14ac:dyDescent="0.3">
      <c r="A295" s="3" t="s">
        <v>558</v>
      </c>
      <c r="B295" s="3" t="s">
        <v>14</v>
      </c>
      <c r="C295" s="11" t="s">
        <v>559</v>
      </c>
      <c r="D295" s="3" t="s">
        <v>74</v>
      </c>
      <c r="E295" s="21" t="s">
        <v>145</v>
      </c>
      <c r="F295" s="14">
        <v>3440</v>
      </c>
      <c r="G295" s="14">
        <v>13</v>
      </c>
      <c r="H295" s="14">
        <v>20</v>
      </c>
      <c r="I295" s="14">
        <v>58480</v>
      </c>
      <c r="J295" s="14">
        <v>58146</v>
      </c>
      <c r="K295" s="14">
        <v>210</v>
      </c>
      <c r="L295" s="4" t="s">
        <v>419</v>
      </c>
      <c r="M295" s="5" t="s">
        <v>38</v>
      </c>
      <c r="N295" s="17" t="s">
        <v>30</v>
      </c>
      <c r="O295" s="17" t="s">
        <v>588</v>
      </c>
      <c r="Q295" s="25">
        <f>(F295+G295+H295)/I295</f>
        <v>5.9387824897400819E-2</v>
      </c>
      <c r="R295" s="15">
        <f t="shared" si="4"/>
        <v>3473</v>
      </c>
      <c r="T295">
        <v>41</v>
      </c>
      <c r="U295" s="9" t="s">
        <v>37</v>
      </c>
      <c r="V295">
        <f>RANK(T295, T:T)</f>
        <v>288</v>
      </c>
      <c r="W295"/>
      <c r="X295">
        <v>59</v>
      </c>
      <c r="Y295">
        <v>93</v>
      </c>
      <c r="Z295" s="9" t="s">
        <v>30</v>
      </c>
      <c r="AA295">
        <f>X295+Y295</f>
        <v>152</v>
      </c>
    </row>
    <row r="296" spans="1:27" ht="14.4" x14ac:dyDescent="0.3">
      <c r="A296" s="3" t="s">
        <v>560</v>
      </c>
      <c r="B296" s="3" t="s">
        <v>14</v>
      </c>
      <c r="C296" s="11" t="s">
        <v>561</v>
      </c>
      <c r="D296" s="3" t="s">
        <v>22</v>
      </c>
      <c r="E296" s="21" t="s">
        <v>23</v>
      </c>
      <c r="F296" s="14">
        <v>2166</v>
      </c>
      <c r="G296" s="14">
        <v>354</v>
      </c>
      <c r="H296" s="14">
        <v>117</v>
      </c>
      <c r="I296" s="14">
        <v>10830</v>
      </c>
      <c r="J296" s="14">
        <v>10245</v>
      </c>
      <c r="K296" s="14">
        <v>24</v>
      </c>
      <c r="L296" s="4" t="s">
        <v>37</v>
      </c>
      <c r="M296" s="5" t="s">
        <v>38</v>
      </c>
      <c r="N296" s="17" t="s">
        <v>37</v>
      </c>
      <c r="Q296" s="25">
        <f>(F296+G296+H296)/I296</f>
        <v>0.24349030470914126</v>
      </c>
      <c r="R296" s="15">
        <f t="shared" si="4"/>
        <v>2637</v>
      </c>
      <c r="T296">
        <v>10</v>
      </c>
      <c r="U296" s="9" t="s">
        <v>30</v>
      </c>
      <c r="V296">
        <f>RANK(T296, T:T)</f>
        <v>331</v>
      </c>
      <c r="W296"/>
      <c r="X296">
        <v>1877</v>
      </c>
      <c r="Y296">
        <v>225</v>
      </c>
      <c r="Z296" s="9" t="s">
        <v>37</v>
      </c>
      <c r="AA296">
        <f>X296+Y296</f>
        <v>2102</v>
      </c>
    </row>
    <row r="297" spans="1:27" ht="14.4" x14ac:dyDescent="0.3">
      <c r="A297" s="3" t="s">
        <v>562</v>
      </c>
      <c r="B297" s="3" t="s">
        <v>43</v>
      </c>
      <c r="C297" s="11" t="s">
        <v>73</v>
      </c>
      <c r="D297" s="3" t="s">
        <v>52</v>
      </c>
      <c r="E297" s="21" t="s">
        <v>59</v>
      </c>
      <c r="F297" s="14">
        <v>4303</v>
      </c>
      <c r="G297" s="14">
        <v>451</v>
      </c>
      <c r="H297" s="14">
        <v>286</v>
      </c>
      <c r="I297" s="14">
        <v>86060</v>
      </c>
      <c r="J297" s="14">
        <v>85823</v>
      </c>
      <c r="K297" s="14">
        <v>14</v>
      </c>
      <c r="L297" s="4" t="s">
        <v>30</v>
      </c>
      <c r="M297" s="5" t="s">
        <v>31</v>
      </c>
      <c r="N297" s="17" t="s">
        <v>30</v>
      </c>
      <c r="Q297" s="25">
        <f>(F297+G297+H297)/I297</f>
        <v>5.8563792702765516E-2</v>
      </c>
      <c r="R297" s="15">
        <f t="shared" si="4"/>
        <v>5040</v>
      </c>
      <c r="T297">
        <v>62</v>
      </c>
      <c r="U297" s="9" t="s">
        <v>62</v>
      </c>
      <c r="V297">
        <f>RANK(T297, T:T)</f>
        <v>265</v>
      </c>
      <c r="W297"/>
      <c r="X297">
        <v>4182</v>
      </c>
      <c r="Y297">
        <v>240</v>
      </c>
      <c r="Z297" s="9" t="s">
        <v>30</v>
      </c>
      <c r="AA297">
        <f>X297+Y297</f>
        <v>4422</v>
      </c>
    </row>
    <row r="298" spans="1:27" ht="14.4" x14ac:dyDescent="0.3">
      <c r="A298" s="3" t="s">
        <v>563</v>
      </c>
      <c r="B298" s="3" t="s">
        <v>43</v>
      </c>
      <c r="C298" s="11" t="s">
        <v>77</v>
      </c>
      <c r="D298" s="3" t="s">
        <v>52</v>
      </c>
      <c r="E298" s="21" t="s">
        <v>59</v>
      </c>
      <c r="F298" s="14">
        <v>2581</v>
      </c>
      <c r="G298" s="14">
        <v>517</v>
      </c>
      <c r="H298" s="14">
        <v>117</v>
      </c>
      <c r="I298" s="14">
        <v>23229</v>
      </c>
      <c r="J298" s="14">
        <v>22331</v>
      </c>
      <c r="K298" s="14">
        <v>70</v>
      </c>
      <c r="L298" s="4" t="s">
        <v>62</v>
      </c>
      <c r="M298" s="5" t="s">
        <v>31</v>
      </c>
      <c r="N298" s="17" t="s">
        <v>62</v>
      </c>
      <c r="Q298" s="25">
        <f>(F298+G298+H298)/I298</f>
        <v>0.13840458048129492</v>
      </c>
      <c r="R298" s="15">
        <f t="shared" si="4"/>
        <v>3215</v>
      </c>
      <c r="T298">
        <v>269</v>
      </c>
      <c r="U298" s="9" t="s">
        <v>37</v>
      </c>
      <c r="V298">
        <f>RANK(T298, T:T)</f>
        <v>32</v>
      </c>
      <c r="W298"/>
      <c r="X298">
        <v>4187</v>
      </c>
      <c r="Y298">
        <v>31</v>
      </c>
      <c r="Z298" s="9" t="s">
        <v>62</v>
      </c>
      <c r="AA298">
        <f>X298+Y298</f>
        <v>4218</v>
      </c>
    </row>
    <row r="299" spans="1:27" ht="14.4" x14ac:dyDescent="0.3">
      <c r="A299" s="3" t="s">
        <v>564</v>
      </c>
      <c r="B299" s="3" t="s">
        <v>14</v>
      </c>
      <c r="C299" s="11" t="s">
        <v>316</v>
      </c>
      <c r="D299" s="3" t="s">
        <v>45</v>
      </c>
      <c r="E299" s="21" t="s">
        <v>49</v>
      </c>
      <c r="F299" s="14">
        <v>4494</v>
      </c>
      <c r="G299" s="14">
        <v>717</v>
      </c>
      <c r="H299" s="14">
        <v>45</v>
      </c>
      <c r="I299" s="14">
        <v>62916</v>
      </c>
      <c r="J299" s="14">
        <v>62688</v>
      </c>
      <c r="K299" s="14">
        <v>191</v>
      </c>
      <c r="L299" s="4" t="s">
        <v>503</v>
      </c>
      <c r="M299" s="5" t="s">
        <v>19</v>
      </c>
      <c r="N299" s="17" t="s">
        <v>30</v>
      </c>
      <c r="O299" s="17" t="s">
        <v>37</v>
      </c>
      <c r="P299" s="17" t="s">
        <v>594</v>
      </c>
      <c r="Q299" s="25">
        <f>(F299+G299+H299)/I299</f>
        <v>8.3539958039290485E-2</v>
      </c>
      <c r="R299" s="15">
        <f t="shared" si="4"/>
        <v>5256</v>
      </c>
      <c r="T299">
        <v>45</v>
      </c>
      <c r="U299" s="9" t="s">
        <v>30</v>
      </c>
      <c r="V299">
        <f>RANK(T299, T:T)</f>
        <v>282</v>
      </c>
      <c r="W299"/>
      <c r="X299">
        <v>4579</v>
      </c>
      <c r="Y299">
        <v>300</v>
      </c>
      <c r="Z299" s="9" t="s">
        <v>37</v>
      </c>
      <c r="AA299">
        <f>X299+Y299</f>
        <v>4879</v>
      </c>
    </row>
    <row r="300" spans="1:27" ht="14.4" x14ac:dyDescent="0.3">
      <c r="A300" s="18"/>
      <c r="B300" s="18"/>
      <c r="C300" s="40"/>
      <c r="D300" s="18"/>
      <c r="E300" s="23"/>
      <c r="F300" s="41"/>
      <c r="G300" s="41"/>
      <c r="H300" s="41"/>
      <c r="I300" s="41"/>
      <c r="J300" s="41"/>
      <c r="K300" s="41"/>
      <c r="M300" s="43"/>
      <c r="Q300" s="57"/>
      <c r="R300" s="15"/>
      <c r="T300">
        <v>241</v>
      </c>
      <c r="U300" s="9" t="s">
        <v>30</v>
      </c>
      <c r="V300">
        <f>RANK(T300, T:T)</f>
        <v>57</v>
      </c>
      <c r="W300"/>
      <c r="X300">
        <v>4561</v>
      </c>
      <c r="Y300">
        <v>441</v>
      </c>
      <c r="Z300" s="9" t="s">
        <v>30</v>
      </c>
      <c r="AA300">
        <f>X300+Y300</f>
        <v>5002</v>
      </c>
    </row>
    <row r="301" spans="1:27" ht="14.4" x14ac:dyDescent="0.3">
      <c r="R301" s="15"/>
      <c r="T301">
        <v>195</v>
      </c>
      <c r="U301" s="9" t="s">
        <v>37</v>
      </c>
      <c r="V301">
        <f>RANK(T301, T:T)</f>
        <v>125</v>
      </c>
      <c r="W301"/>
      <c r="X301">
        <v>3774</v>
      </c>
      <c r="Y301">
        <v>39</v>
      </c>
      <c r="Z301" s="9" t="s">
        <v>30</v>
      </c>
      <c r="AA301">
        <f>X301+Y301</f>
        <v>3813</v>
      </c>
    </row>
    <row r="302" spans="1:27" ht="14.4" x14ac:dyDescent="0.3">
      <c r="L302" s="42"/>
      <c r="R302" s="15"/>
      <c r="T302">
        <v>217</v>
      </c>
      <c r="U302" s="9" t="s">
        <v>30</v>
      </c>
      <c r="V302">
        <f>RANK(T302, T:T)</f>
        <v>96</v>
      </c>
      <c r="W302"/>
      <c r="X302">
        <v>3575</v>
      </c>
      <c r="Y302">
        <v>111</v>
      </c>
      <c r="Z302" s="9" t="s">
        <v>37</v>
      </c>
      <c r="AA302">
        <f>X302+Y302</f>
        <v>3686</v>
      </c>
    </row>
    <row r="303" spans="1:27" ht="14.4" x14ac:dyDescent="0.3">
      <c r="T303">
        <v>296</v>
      </c>
      <c r="U303" s="9" t="s">
        <v>37</v>
      </c>
      <c r="V303">
        <f>RANK(T303, T:T)</f>
        <v>6</v>
      </c>
      <c r="W303"/>
      <c r="X303">
        <v>4941</v>
      </c>
      <c r="Y303">
        <v>266</v>
      </c>
      <c r="Z303" s="9" t="s">
        <v>30</v>
      </c>
      <c r="AA303">
        <f>X303+Y303</f>
        <v>5207</v>
      </c>
    </row>
    <row r="304" spans="1:27" ht="14.4" x14ac:dyDescent="0.3">
      <c r="T304">
        <v>44</v>
      </c>
      <c r="U304" s="9" t="s">
        <v>30</v>
      </c>
      <c r="V304">
        <f>RANK(T304, T:T)</f>
        <v>283</v>
      </c>
      <c r="W304"/>
      <c r="X304">
        <v>3641</v>
      </c>
      <c r="Y304">
        <v>46</v>
      </c>
      <c r="Z304" s="9" t="s">
        <v>37</v>
      </c>
      <c r="AA304">
        <f>X304+Y304</f>
        <v>3687</v>
      </c>
    </row>
    <row r="305" spans="20:27" ht="14.4" x14ac:dyDescent="0.3">
      <c r="T305">
        <v>58</v>
      </c>
      <c r="U305" s="9" t="s">
        <v>37</v>
      </c>
      <c r="V305">
        <f>RANK(T305, T:T)</f>
        <v>267</v>
      </c>
      <c r="W305"/>
      <c r="X305">
        <v>3535</v>
      </c>
      <c r="Y305">
        <v>152</v>
      </c>
      <c r="Z305" s="9" t="s">
        <v>30</v>
      </c>
      <c r="AA305">
        <f>X305+Y305</f>
        <v>3687</v>
      </c>
    </row>
    <row r="306" spans="20:27" ht="14.4" x14ac:dyDescent="0.3">
      <c r="T306">
        <v>137</v>
      </c>
      <c r="U306" s="9" t="s">
        <v>30</v>
      </c>
      <c r="V306">
        <f>RANK(T306, T:T)</f>
        <v>185</v>
      </c>
      <c r="W306"/>
      <c r="X306">
        <v>1741</v>
      </c>
      <c r="Y306">
        <v>345</v>
      </c>
      <c r="Z306" s="9" t="s">
        <v>37</v>
      </c>
      <c r="AA306">
        <f>X306+Y306</f>
        <v>2086</v>
      </c>
    </row>
    <row r="307" spans="20:27" ht="14.4" x14ac:dyDescent="0.3">
      <c r="T307">
        <v>238</v>
      </c>
      <c r="U307" s="9" t="s">
        <v>62</v>
      </c>
      <c r="V307">
        <f>RANK(T307, T:T)</f>
        <v>63</v>
      </c>
      <c r="W307"/>
      <c r="X307">
        <v>1556</v>
      </c>
      <c r="Y307">
        <v>131</v>
      </c>
      <c r="Z307" s="9" t="s">
        <v>30</v>
      </c>
      <c r="AA307">
        <f>X307+Y307</f>
        <v>1687</v>
      </c>
    </row>
    <row r="308" spans="20:27" ht="14.4" x14ac:dyDescent="0.3">
      <c r="T308">
        <v>282</v>
      </c>
      <c r="U308" s="9" t="s">
        <v>37</v>
      </c>
      <c r="V308">
        <f>RANK(T308, T:T)</f>
        <v>15</v>
      </c>
      <c r="W308"/>
      <c r="X308">
        <v>4236</v>
      </c>
      <c r="Y308">
        <v>298</v>
      </c>
      <c r="Z308" s="9" t="s">
        <v>62</v>
      </c>
      <c r="AA308">
        <f>X308+Y308</f>
        <v>4534</v>
      </c>
    </row>
    <row r="309" spans="20:27" ht="14.4" x14ac:dyDescent="0.3">
      <c r="T309">
        <v>279</v>
      </c>
      <c r="U309" s="9" t="s">
        <v>30</v>
      </c>
      <c r="V309">
        <f>RANK(T309, T:T)</f>
        <v>21</v>
      </c>
      <c r="W309"/>
      <c r="X309">
        <v>4516</v>
      </c>
      <c r="Y309">
        <v>169</v>
      </c>
      <c r="Z309" s="9" t="s">
        <v>37</v>
      </c>
      <c r="AA309">
        <f>X309+Y309</f>
        <v>4685</v>
      </c>
    </row>
    <row r="310" spans="20:27" ht="14.4" x14ac:dyDescent="0.3">
      <c r="T310">
        <v>104</v>
      </c>
      <c r="U310" s="9" t="s">
        <v>37</v>
      </c>
      <c r="V310">
        <f>RANK(T310, T:T)</f>
        <v>222</v>
      </c>
      <c r="W310"/>
      <c r="X310">
        <v>4905</v>
      </c>
      <c r="Y310">
        <v>129</v>
      </c>
      <c r="Z310" s="9" t="s">
        <v>30</v>
      </c>
      <c r="AA310">
        <f>X310+Y310</f>
        <v>5034</v>
      </c>
    </row>
    <row r="311" spans="20:27" ht="14.4" x14ac:dyDescent="0.3">
      <c r="T311">
        <v>104</v>
      </c>
      <c r="U311" s="9" t="s">
        <v>30</v>
      </c>
      <c r="V311">
        <f>RANK(T311, T:T)</f>
        <v>222</v>
      </c>
      <c r="W311"/>
      <c r="X311">
        <v>4275</v>
      </c>
      <c r="Y311">
        <v>385</v>
      </c>
      <c r="Z311" s="9" t="s">
        <v>37</v>
      </c>
      <c r="AA311">
        <f>X311+Y311</f>
        <v>4660</v>
      </c>
    </row>
    <row r="312" spans="20:27" ht="14.4" x14ac:dyDescent="0.3">
      <c r="T312">
        <v>104</v>
      </c>
      <c r="U312" s="9" t="s">
        <v>593</v>
      </c>
      <c r="V312">
        <f>RANK(T312, T:T)</f>
        <v>222</v>
      </c>
      <c r="W312"/>
      <c r="X312">
        <v>4275</v>
      </c>
      <c r="Y312">
        <v>385</v>
      </c>
      <c r="Z312" s="9" t="s">
        <v>30</v>
      </c>
      <c r="AA312">
        <f>X312+Y312</f>
        <v>4660</v>
      </c>
    </row>
    <row r="313" spans="20:27" ht="14.4" x14ac:dyDescent="0.3">
      <c r="T313">
        <v>135</v>
      </c>
      <c r="U313" s="9" t="s">
        <v>37</v>
      </c>
      <c r="V313">
        <f>RANK(T313, T:T)</f>
        <v>189</v>
      </c>
      <c r="W313"/>
      <c r="X313">
        <v>4275</v>
      </c>
      <c r="Y313">
        <v>385</v>
      </c>
      <c r="Z313" s="9" t="s">
        <v>593</v>
      </c>
      <c r="AA313">
        <f>X313+Y313</f>
        <v>4660</v>
      </c>
    </row>
    <row r="314" spans="20:27" ht="14.4" x14ac:dyDescent="0.3">
      <c r="T314">
        <v>30</v>
      </c>
      <c r="U314" s="9" t="s">
        <v>62</v>
      </c>
      <c r="V314">
        <f>RANK(T314, T:T)</f>
        <v>302</v>
      </c>
      <c r="W314"/>
      <c r="X314">
        <v>3166</v>
      </c>
      <c r="Y314">
        <v>341</v>
      </c>
      <c r="Z314" s="9" t="s">
        <v>37</v>
      </c>
      <c r="AA314">
        <f>X314+Y314</f>
        <v>3507</v>
      </c>
    </row>
    <row r="315" spans="20:27" ht="14.4" x14ac:dyDescent="0.3">
      <c r="T315">
        <v>157</v>
      </c>
      <c r="U315" s="9" t="s">
        <v>62</v>
      </c>
      <c r="V315">
        <f>RANK(T315, T:T)</f>
        <v>169</v>
      </c>
      <c r="W315"/>
      <c r="X315">
        <v>1488</v>
      </c>
      <c r="Y315">
        <v>168</v>
      </c>
      <c r="Z315" s="9" t="s">
        <v>62</v>
      </c>
      <c r="AA315">
        <f>X315+Y315</f>
        <v>1656</v>
      </c>
    </row>
    <row r="316" spans="20:27" ht="14.4" x14ac:dyDescent="0.3">
      <c r="T316">
        <v>231</v>
      </c>
      <c r="U316" s="9" t="s">
        <v>30</v>
      </c>
      <c r="V316">
        <f>RANK(T316, T:T)</f>
        <v>78</v>
      </c>
      <c r="W316"/>
      <c r="X316">
        <v>3367</v>
      </c>
      <c r="Y316">
        <v>57</v>
      </c>
      <c r="Z316" s="9" t="s">
        <v>62</v>
      </c>
      <c r="AA316">
        <f>X316+Y316</f>
        <v>3424</v>
      </c>
    </row>
    <row r="317" spans="20:27" ht="14.4" x14ac:dyDescent="0.3">
      <c r="T317">
        <v>174</v>
      </c>
      <c r="U317" s="9" t="s">
        <v>37</v>
      </c>
      <c r="V317">
        <f>RANK(T317, T:T)</f>
        <v>148</v>
      </c>
      <c r="W317"/>
      <c r="X317">
        <v>571</v>
      </c>
      <c r="Y317">
        <v>352</v>
      </c>
      <c r="Z317" s="9" t="s">
        <v>30</v>
      </c>
      <c r="AA317">
        <f>X317+Y317</f>
        <v>923</v>
      </c>
    </row>
    <row r="318" spans="20:27" ht="14.4" x14ac:dyDescent="0.3">
      <c r="T318">
        <v>228</v>
      </c>
      <c r="U318" s="9" t="s">
        <v>62</v>
      </c>
      <c r="V318">
        <f>RANK(T318, T:T)</f>
        <v>82</v>
      </c>
      <c r="W318"/>
      <c r="X318">
        <v>4021</v>
      </c>
      <c r="Y318">
        <v>77</v>
      </c>
      <c r="Z318" s="9" t="s">
        <v>37</v>
      </c>
      <c r="AA318">
        <f>X318+Y318</f>
        <v>4098</v>
      </c>
    </row>
    <row r="319" spans="20:27" ht="14.4" x14ac:dyDescent="0.3">
      <c r="T319">
        <v>82</v>
      </c>
      <c r="U319" s="9" t="s">
        <v>37</v>
      </c>
      <c r="V319">
        <f>RANK(T319, T:T)</f>
        <v>250</v>
      </c>
      <c r="W319"/>
      <c r="X319">
        <v>3389</v>
      </c>
      <c r="Y319">
        <v>229</v>
      </c>
      <c r="Z319" s="9" t="s">
        <v>62</v>
      </c>
      <c r="AA319">
        <f>X319+Y319</f>
        <v>3618</v>
      </c>
    </row>
    <row r="320" spans="20:27" ht="14.4" x14ac:dyDescent="0.3">
      <c r="T320">
        <v>262</v>
      </c>
      <c r="U320" s="9" t="s">
        <v>62</v>
      </c>
      <c r="V320">
        <f>RANK(T320, T:T)</f>
        <v>38</v>
      </c>
      <c r="W320"/>
      <c r="X320">
        <v>1164</v>
      </c>
      <c r="Y320">
        <v>324</v>
      </c>
      <c r="Z320" s="9" t="s">
        <v>37</v>
      </c>
      <c r="AA320">
        <f>X320+Y320</f>
        <v>1488</v>
      </c>
    </row>
    <row r="321" spans="20:27" ht="14.4" x14ac:dyDescent="0.3">
      <c r="T321">
        <v>129</v>
      </c>
      <c r="U321" s="9" t="s">
        <v>62</v>
      </c>
      <c r="V321">
        <f>RANK(T321, T:T)</f>
        <v>196</v>
      </c>
      <c r="W321"/>
      <c r="X321">
        <v>4780</v>
      </c>
      <c r="Y321">
        <v>380</v>
      </c>
      <c r="Z321" s="9" t="s">
        <v>62</v>
      </c>
      <c r="AA321">
        <f>X321+Y321</f>
        <v>5160</v>
      </c>
    </row>
    <row r="322" spans="20:27" ht="14.4" x14ac:dyDescent="0.3">
      <c r="T322">
        <v>191</v>
      </c>
      <c r="U322" s="9" t="s">
        <v>37</v>
      </c>
      <c r="V322">
        <f>RANK(T322, T:T)</f>
        <v>132</v>
      </c>
      <c r="W322"/>
      <c r="X322">
        <v>2751</v>
      </c>
      <c r="Y322">
        <v>430</v>
      </c>
      <c r="Z322" s="9" t="s">
        <v>62</v>
      </c>
      <c r="AA322">
        <f>X322+Y322</f>
        <v>3181</v>
      </c>
    </row>
    <row r="323" spans="20:27" ht="14.4" x14ac:dyDescent="0.3">
      <c r="T323">
        <v>35</v>
      </c>
      <c r="U323" s="9" t="s">
        <v>37</v>
      </c>
      <c r="V323">
        <f>RANK(T323, T:T)</f>
        <v>297</v>
      </c>
      <c r="W323"/>
      <c r="X323">
        <v>2107</v>
      </c>
      <c r="Y323">
        <v>349</v>
      </c>
      <c r="Z323" s="9" t="s">
        <v>37</v>
      </c>
      <c r="AA323">
        <f>X323+Y323</f>
        <v>2456</v>
      </c>
    </row>
    <row r="324" spans="20:27" ht="14.4" x14ac:dyDescent="0.3">
      <c r="T324">
        <v>238</v>
      </c>
      <c r="U324" s="9" t="s">
        <v>30</v>
      </c>
      <c r="V324">
        <f>RANK(T324, T:T)</f>
        <v>63</v>
      </c>
      <c r="W324"/>
      <c r="X324">
        <v>4663</v>
      </c>
      <c r="Y324">
        <v>225</v>
      </c>
      <c r="Z324" s="9" t="s">
        <v>37</v>
      </c>
      <c r="AA324">
        <f>X324+Y324</f>
        <v>4888</v>
      </c>
    </row>
    <row r="325" spans="20:27" ht="14.4" x14ac:dyDescent="0.3">
      <c r="T325">
        <v>238</v>
      </c>
      <c r="U325" s="9" t="s">
        <v>593</v>
      </c>
      <c r="V325">
        <f>RANK(T325, T:T)</f>
        <v>63</v>
      </c>
      <c r="W325"/>
      <c r="X325">
        <v>880</v>
      </c>
      <c r="Y325">
        <v>345</v>
      </c>
      <c r="Z325" s="9" t="s">
        <v>30</v>
      </c>
      <c r="AA325">
        <f>X325+Y325</f>
        <v>1225</v>
      </c>
    </row>
    <row r="326" spans="20:27" ht="14.4" x14ac:dyDescent="0.3">
      <c r="T326">
        <v>277</v>
      </c>
      <c r="U326" s="9" t="s">
        <v>37</v>
      </c>
      <c r="V326">
        <f>RANK(T326, T:T)</f>
        <v>22</v>
      </c>
      <c r="W326"/>
      <c r="X326">
        <v>880</v>
      </c>
      <c r="Y326">
        <v>345</v>
      </c>
      <c r="Z326" s="9" t="s">
        <v>593</v>
      </c>
      <c r="AA326">
        <f>X326+Y326</f>
        <v>1225</v>
      </c>
    </row>
    <row r="327" spans="20:27" ht="14.4" x14ac:dyDescent="0.3">
      <c r="T327">
        <v>89</v>
      </c>
      <c r="U327" s="9" t="s">
        <v>37</v>
      </c>
      <c r="V327">
        <f>RANK(T327, T:T)</f>
        <v>236</v>
      </c>
      <c r="W327"/>
      <c r="X327">
        <v>2634</v>
      </c>
      <c r="Y327">
        <v>241</v>
      </c>
      <c r="Z327" s="9" t="s">
        <v>37</v>
      </c>
      <c r="AA327">
        <f>X327+Y327</f>
        <v>2875</v>
      </c>
    </row>
    <row r="328" spans="20:27" ht="14.4" x14ac:dyDescent="0.3">
      <c r="T328">
        <v>235</v>
      </c>
      <c r="U328" s="9" t="s">
        <v>62</v>
      </c>
      <c r="V328">
        <f>RANK(T328, T:T)</f>
        <v>70</v>
      </c>
      <c r="W328"/>
      <c r="X328">
        <v>4731</v>
      </c>
      <c r="Y328">
        <v>276</v>
      </c>
      <c r="Z328" s="9" t="s">
        <v>37</v>
      </c>
      <c r="AA328">
        <f>X328+Y328</f>
        <v>5007</v>
      </c>
    </row>
    <row r="329" spans="20:27" ht="14.4" x14ac:dyDescent="0.3">
      <c r="T329">
        <v>235</v>
      </c>
      <c r="U329" s="9" t="s">
        <v>30</v>
      </c>
      <c r="V329">
        <f>RANK(T329, T:T)</f>
        <v>70</v>
      </c>
      <c r="W329"/>
      <c r="X329">
        <v>1952</v>
      </c>
      <c r="Y329">
        <v>287</v>
      </c>
      <c r="Z329" s="9" t="s">
        <v>62</v>
      </c>
      <c r="AA329">
        <f>X329+Y329</f>
        <v>2239</v>
      </c>
    </row>
    <row r="330" spans="20:27" ht="14.4" x14ac:dyDescent="0.3">
      <c r="T330">
        <v>235</v>
      </c>
      <c r="U330" s="9" t="s">
        <v>593</v>
      </c>
      <c r="V330">
        <f>RANK(T330, T:T)</f>
        <v>70</v>
      </c>
      <c r="W330"/>
      <c r="X330">
        <v>1952</v>
      </c>
      <c r="Y330">
        <v>287</v>
      </c>
      <c r="Z330" s="9" t="s">
        <v>30</v>
      </c>
      <c r="AA330">
        <f>X330+Y330</f>
        <v>2239</v>
      </c>
    </row>
    <row r="331" spans="20:27" ht="14.4" x14ac:dyDescent="0.3">
      <c r="T331">
        <v>210</v>
      </c>
      <c r="U331" s="9" t="s">
        <v>30</v>
      </c>
      <c r="V331">
        <f>RANK(T331, T:T)</f>
        <v>105</v>
      </c>
      <c r="W331"/>
      <c r="X331">
        <v>1952</v>
      </c>
      <c r="Y331">
        <v>287</v>
      </c>
      <c r="Z331" s="9" t="s">
        <v>593</v>
      </c>
      <c r="AA331">
        <f>X331+Y331</f>
        <v>2239</v>
      </c>
    </row>
    <row r="332" spans="20:27" ht="14.4" x14ac:dyDescent="0.3">
      <c r="T332">
        <v>210</v>
      </c>
      <c r="U332" s="9" t="s">
        <v>588</v>
      </c>
      <c r="V332">
        <f>RANK(T332, T:T)</f>
        <v>105</v>
      </c>
      <c r="W332"/>
      <c r="X332">
        <v>3440</v>
      </c>
      <c r="Y332">
        <v>20</v>
      </c>
      <c r="Z332" s="9" t="s">
        <v>30</v>
      </c>
      <c r="AA332">
        <f>X332+Y332</f>
        <v>3460</v>
      </c>
    </row>
    <row r="333" spans="20:27" ht="14.4" x14ac:dyDescent="0.3">
      <c r="T333">
        <v>24</v>
      </c>
      <c r="U333" s="9" t="s">
        <v>37</v>
      </c>
      <c r="V333">
        <f>RANK(T333, T:T)</f>
        <v>311</v>
      </c>
      <c r="W333"/>
      <c r="X333">
        <v>3440</v>
      </c>
      <c r="Y333">
        <v>20</v>
      </c>
      <c r="Z333" s="9" t="s">
        <v>588</v>
      </c>
      <c r="AA333">
        <f>X333+Y333</f>
        <v>3460</v>
      </c>
    </row>
    <row r="334" spans="20:27" ht="14.4" x14ac:dyDescent="0.3">
      <c r="T334">
        <v>14</v>
      </c>
      <c r="U334" s="9" t="s">
        <v>30</v>
      </c>
      <c r="V334">
        <f>RANK(T334, T:T)</f>
        <v>325</v>
      </c>
      <c r="W334"/>
      <c r="X334">
        <v>2166</v>
      </c>
      <c r="Y334">
        <v>117</v>
      </c>
      <c r="Z334" s="9" t="s">
        <v>37</v>
      </c>
      <c r="AA334">
        <f>X334+Y334</f>
        <v>2283</v>
      </c>
    </row>
    <row r="335" spans="20:27" ht="14.4" x14ac:dyDescent="0.3">
      <c r="T335">
        <v>70</v>
      </c>
      <c r="U335" s="9" t="s">
        <v>62</v>
      </c>
      <c r="V335">
        <f>RANK(T335, T:T)</f>
        <v>257</v>
      </c>
      <c r="W335"/>
      <c r="X335">
        <v>4303</v>
      </c>
      <c r="Y335">
        <v>286</v>
      </c>
      <c r="Z335" s="9" t="s">
        <v>30</v>
      </c>
      <c r="AA335">
        <f>X335+Y335</f>
        <v>4589</v>
      </c>
    </row>
    <row r="336" spans="20:27" ht="14.4" x14ac:dyDescent="0.3">
      <c r="T336">
        <v>191</v>
      </c>
      <c r="U336" s="9" t="s">
        <v>30</v>
      </c>
      <c r="V336">
        <f>RANK(T336, T:T)</f>
        <v>132</v>
      </c>
      <c r="W336"/>
      <c r="X336">
        <v>2581</v>
      </c>
      <c r="Y336">
        <v>117</v>
      </c>
      <c r="Z336" s="9" t="s">
        <v>62</v>
      </c>
      <c r="AA336">
        <f>X336+Y336</f>
        <v>2698</v>
      </c>
    </row>
    <row r="337" spans="20:27" ht="14.4" x14ac:dyDescent="0.3">
      <c r="T337">
        <v>191</v>
      </c>
      <c r="U337" s="9" t="s">
        <v>37</v>
      </c>
      <c r="V337">
        <f>RANK(T337, T:T)</f>
        <v>132</v>
      </c>
      <c r="W337"/>
      <c r="X337">
        <v>4494</v>
      </c>
      <c r="Y337">
        <v>45</v>
      </c>
      <c r="Z337" s="9" t="s">
        <v>30</v>
      </c>
      <c r="AA337">
        <f>X337+Y337</f>
        <v>4539</v>
      </c>
    </row>
    <row r="338" spans="20:27" ht="14.4" x14ac:dyDescent="0.3">
      <c r="T338">
        <v>191</v>
      </c>
      <c r="U338" s="9" t="s">
        <v>594</v>
      </c>
      <c r="V338">
        <f>RANK(T338, T:T)</f>
        <v>132</v>
      </c>
      <c r="W338"/>
      <c r="X338">
        <v>4494</v>
      </c>
      <c r="Y338">
        <v>45</v>
      </c>
      <c r="Z338" s="9" t="s">
        <v>37</v>
      </c>
      <c r="AA338">
        <f>X338+Y338</f>
        <v>4539</v>
      </c>
    </row>
    <row r="339" spans="20:27" ht="14.4" x14ac:dyDescent="0.3">
      <c r="U339" s="9"/>
      <c r="W339"/>
      <c r="X339">
        <v>4494</v>
      </c>
      <c r="Y339">
        <v>45</v>
      </c>
      <c r="Z339" s="9" t="s">
        <v>594</v>
      </c>
      <c r="AA339">
        <f>X339+Y339</f>
        <v>4539</v>
      </c>
    </row>
    <row r="340" spans="20:27" ht="14.25" customHeight="1" x14ac:dyDescent="0.3">
      <c r="W340"/>
    </row>
    <row r="341" spans="20:27" ht="14.25" customHeight="1" x14ac:dyDescent="0.3">
      <c r="W341"/>
    </row>
    <row r="342" spans="20:27" ht="14.25" customHeight="1" x14ac:dyDescent="0.3">
      <c r="W342"/>
    </row>
    <row r="343" spans="20:27" ht="14.25" customHeight="1" x14ac:dyDescent="0.3">
      <c r="W343"/>
    </row>
    <row r="344" spans="20:27" ht="14.25" customHeight="1" x14ac:dyDescent="0.3">
      <c r="W344"/>
    </row>
    <row r="345" spans="20:27" ht="14.25" customHeight="1" x14ac:dyDescent="0.3">
      <c r="W345"/>
    </row>
    <row r="346" spans="20:27" ht="14.25" customHeight="1" x14ac:dyDescent="0.3">
      <c r="W346"/>
    </row>
    <row r="347" spans="20:27" ht="14.25" customHeight="1" x14ac:dyDescent="0.3">
      <c r="W347"/>
    </row>
    <row r="348" spans="20:27" ht="14.25" customHeight="1" x14ac:dyDescent="0.3">
      <c r="W348"/>
    </row>
    <row r="349" spans="20:27" ht="14.25" customHeight="1" x14ac:dyDescent="0.3">
      <c r="W349"/>
    </row>
    <row r="350" spans="20:27" ht="14.25" customHeight="1" x14ac:dyDescent="0.3">
      <c r="W350"/>
    </row>
    <row r="351" spans="20:27" ht="14.25" customHeight="1" x14ac:dyDescent="0.3">
      <c r="W351"/>
    </row>
    <row r="352" spans="20:27" ht="14.25" customHeight="1" x14ac:dyDescent="0.3">
      <c r="W352"/>
    </row>
    <row r="353" spans="23:23" ht="14.25" customHeight="1" x14ac:dyDescent="0.3">
      <c r="W353"/>
    </row>
    <row r="354" spans="23:23" ht="14.25" customHeight="1" x14ac:dyDescent="0.3">
      <c r="W354"/>
    </row>
    <row r="355" spans="23:23" ht="14.25" customHeight="1" x14ac:dyDescent="0.3">
      <c r="W355"/>
    </row>
    <row r="356" spans="23:23" ht="14.25" customHeight="1" x14ac:dyDescent="0.3">
      <c r="W356"/>
    </row>
    <row r="357" spans="23:23" ht="14.25" customHeight="1" x14ac:dyDescent="0.3">
      <c r="W357"/>
    </row>
    <row r="358" spans="23:23" ht="14.25" customHeight="1" x14ac:dyDescent="0.3">
      <c r="W358"/>
    </row>
    <row r="359" spans="23:23" ht="14.25" customHeight="1" x14ac:dyDescent="0.3">
      <c r="W359"/>
    </row>
    <row r="360" spans="23:23" ht="14.25" customHeight="1" x14ac:dyDescent="0.3">
      <c r="W360"/>
    </row>
    <row r="361" spans="23:23" ht="14.25" customHeight="1" x14ac:dyDescent="0.3">
      <c r="W361"/>
    </row>
    <row r="362" spans="23:23" ht="14.25" customHeight="1" x14ac:dyDescent="0.3">
      <c r="W362"/>
    </row>
    <row r="363" spans="23:23" ht="14.25" customHeight="1" x14ac:dyDescent="0.3">
      <c r="W363"/>
    </row>
    <row r="364" spans="23:23" ht="14.25" customHeight="1" x14ac:dyDescent="0.3">
      <c r="W364"/>
    </row>
    <row r="365" spans="23:23" ht="14.25" customHeight="1" x14ac:dyDescent="0.3">
      <c r="W365"/>
    </row>
    <row r="366" spans="23:23" ht="14.25" customHeight="1" x14ac:dyDescent="0.3">
      <c r="W366"/>
    </row>
    <row r="367" spans="23:23" ht="14.25" customHeight="1" x14ac:dyDescent="0.3">
      <c r="W367"/>
    </row>
    <row r="368" spans="23:23" ht="14.25" customHeight="1" x14ac:dyDescent="0.3">
      <c r="W368"/>
    </row>
    <row r="369" spans="23:23" ht="14.25" customHeight="1" x14ac:dyDescent="0.3">
      <c r="W369"/>
    </row>
    <row r="370" spans="23:23" ht="14.25" customHeight="1" x14ac:dyDescent="0.3">
      <c r="W370"/>
    </row>
    <row r="371" spans="23:23" ht="14.25" customHeight="1" x14ac:dyDescent="0.3">
      <c r="W371"/>
    </row>
    <row r="372" spans="23:23" ht="14.25" customHeight="1" x14ac:dyDescent="0.3">
      <c r="W372"/>
    </row>
    <row r="373" spans="23:23" ht="14.25" customHeight="1" x14ac:dyDescent="0.3">
      <c r="W373"/>
    </row>
    <row r="374" spans="23:23" ht="14.25" customHeight="1" x14ac:dyDescent="0.3">
      <c r="W374"/>
    </row>
    <row r="375" spans="23:23" ht="14.25" customHeight="1" x14ac:dyDescent="0.3">
      <c r="W375"/>
    </row>
    <row r="376" spans="23:23" ht="14.25" customHeight="1" x14ac:dyDescent="0.3">
      <c r="W376"/>
    </row>
    <row r="377" spans="23:23" ht="14.25" customHeight="1" x14ac:dyDescent="0.3">
      <c r="W377"/>
    </row>
    <row r="378" spans="23:23" ht="14.25" customHeight="1" x14ac:dyDescent="0.3">
      <c r="W378"/>
    </row>
    <row r="379" spans="23:23" ht="14.25" customHeight="1" x14ac:dyDescent="0.3">
      <c r="W379"/>
    </row>
    <row r="380" spans="23:23" ht="14.25" customHeight="1" x14ac:dyDescent="0.3">
      <c r="W380"/>
    </row>
    <row r="381" spans="23:23" ht="14.25" customHeight="1" x14ac:dyDescent="0.3">
      <c r="W381"/>
    </row>
    <row r="382" spans="23:23" ht="14.25" customHeight="1" x14ac:dyDescent="0.3">
      <c r="W382"/>
    </row>
    <row r="383" spans="23:23" ht="14.25" customHeight="1" x14ac:dyDescent="0.3">
      <c r="W383"/>
    </row>
    <row r="384" spans="23:23" ht="14.25" customHeight="1" x14ac:dyDescent="0.3">
      <c r="W384"/>
    </row>
    <row r="385" spans="23:23" ht="14.25" customHeight="1" x14ac:dyDescent="0.3">
      <c r="W385"/>
    </row>
    <row r="386" spans="23:23" ht="14.25" customHeight="1" x14ac:dyDescent="0.3">
      <c r="W386"/>
    </row>
    <row r="387" spans="23:23" ht="14.25" customHeight="1" x14ac:dyDescent="0.3">
      <c r="W387"/>
    </row>
    <row r="388" spans="23:23" ht="14.25" customHeight="1" x14ac:dyDescent="0.3">
      <c r="W388"/>
    </row>
    <row r="389" spans="23:23" ht="14.25" customHeight="1" x14ac:dyDescent="0.3">
      <c r="W389"/>
    </row>
    <row r="390" spans="23:23" ht="14.25" customHeight="1" x14ac:dyDescent="0.3">
      <c r="W390"/>
    </row>
    <row r="391" spans="23:23" ht="14.25" customHeight="1" x14ac:dyDescent="0.3">
      <c r="W391"/>
    </row>
    <row r="392" spans="23:23" ht="14.25" customHeight="1" x14ac:dyDescent="0.3">
      <c r="W392"/>
    </row>
    <row r="393" spans="23:23" ht="14.25" customHeight="1" x14ac:dyDescent="0.3">
      <c r="W393"/>
    </row>
    <row r="394" spans="23:23" ht="14.25" customHeight="1" x14ac:dyDescent="0.3">
      <c r="W394"/>
    </row>
    <row r="395" spans="23:23" ht="14.25" customHeight="1" x14ac:dyDescent="0.3">
      <c r="W395"/>
    </row>
    <row r="396" spans="23:23" ht="14.25" customHeight="1" x14ac:dyDescent="0.3">
      <c r="W396"/>
    </row>
    <row r="397" spans="23:23" ht="14.25" customHeight="1" x14ac:dyDescent="0.3">
      <c r="W397"/>
    </row>
    <row r="398" spans="23:23" ht="14.25" customHeight="1" x14ac:dyDescent="0.3">
      <c r="W398"/>
    </row>
    <row r="399" spans="23:23" ht="14.25" customHeight="1" x14ac:dyDescent="0.3">
      <c r="W399"/>
    </row>
    <row r="400" spans="23:23" ht="14.25" customHeight="1" x14ac:dyDescent="0.3">
      <c r="W400"/>
    </row>
    <row r="401" spans="23:23" ht="14.25" customHeight="1" x14ac:dyDescent="0.3">
      <c r="W401"/>
    </row>
    <row r="402" spans="23:23" ht="14.25" customHeight="1" x14ac:dyDescent="0.3">
      <c r="W402"/>
    </row>
    <row r="403" spans="23:23" ht="14.25" customHeight="1" x14ac:dyDescent="0.3">
      <c r="W403"/>
    </row>
    <row r="404" spans="23:23" ht="14.25" customHeight="1" x14ac:dyDescent="0.3">
      <c r="W404"/>
    </row>
    <row r="405" spans="23:23" ht="14.25" customHeight="1" x14ac:dyDescent="0.3">
      <c r="W405"/>
    </row>
    <row r="406" spans="23:23" ht="14.25" customHeight="1" x14ac:dyDescent="0.3">
      <c r="W406"/>
    </row>
    <row r="407" spans="23:23" ht="14.25" customHeight="1" x14ac:dyDescent="0.3">
      <c r="W407"/>
    </row>
    <row r="408" spans="23:23" ht="14.25" customHeight="1" x14ac:dyDescent="0.3">
      <c r="W408"/>
    </row>
    <row r="409" spans="23:23" ht="14.25" customHeight="1" x14ac:dyDescent="0.3">
      <c r="W409"/>
    </row>
    <row r="410" spans="23:23" ht="14.25" customHeight="1" x14ac:dyDescent="0.3">
      <c r="W410"/>
    </row>
    <row r="411" spans="23:23" ht="14.25" customHeight="1" x14ac:dyDescent="0.3">
      <c r="W411"/>
    </row>
    <row r="412" spans="23:23" ht="14.25" customHeight="1" x14ac:dyDescent="0.3">
      <c r="W412"/>
    </row>
    <row r="413" spans="23:23" ht="14.25" customHeight="1" x14ac:dyDescent="0.3">
      <c r="W413"/>
    </row>
    <row r="414" spans="23:23" ht="14.25" customHeight="1" x14ac:dyDescent="0.3">
      <c r="W414"/>
    </row>
    <row r="415" spans="23:23" ht="14.25" customHeight="1" x14ac:dyDescent="0.3">
      <c r="W415"/>
    </row>
    <row r="416" spans="23:23" ht="14.25" customHeight="1" x14ac:dyDescent="0.3">
      <c r="W416"/>
    </row>
    <row r="417" spans="23:23" ht="14.25" customHeight="1" x14ac:dyDescent="0.3">
      <c r="W417"/>
    </row>
    <row r="418" spans="23:23" ht="14.25" customHeight="1" x14ac:dyDescent="0.3">
      <c r="W418"/>
    </row>
    <row r="419" spans="23:23" ht="14.25" customHeight="1" x14ac:dyDescent="0.3">
      <c r="W419"/>
    </row>
    <row r="420" spans="23:23" ht="14.25" customHeight="1" x14ac:dyDescent="0.3">
      <c r="W420"/>
    </row>
    <row r="421" spans="23:23" ht="14.25" customHeight="1" x14ac:dyDescent="0.3">
      <c r="W421"/>
    </row>
    <row r="422" spans="23:23" ht="14.25" customHeight="1" x14ac:dyDescent="0.3">
      <c r="W422"/>
    </row>
    <row r="423" spans="23:23" ht="14.25" customHeight="1" x14ac:dyDescent="0.3">
      <c r="W423"/>
    </row>
    <row r="424" spans="23:23" ht="14.25" customHeight="1" x14ac:dyDescent="0.3">
      <c r="W424"/>
    </row>
    <row r="425" spans="23:23" ht="14.25" customHeight="1" x14ac:dyDescent="0.3">
      <c r="W425"/>
    </row>
    <row r="426" spans="23:23" ht="14.25" customHeight="1" x14ac:dyDescent="0.3">
      <c r="W426"/>
    </row>
    <row r="427" spans="23:23" ht="14.25" customHeight="1" x14ac:dyDescent="0.3">
      <c r="W427"/>
    </row>
    <row r="428" spans="23:23" ht="14.25" customHeight="1" x14ac:dyDescent="0.3">
      <c r="W428"/>
    </row>
    <row r="429" spans="23:23" ht="14.25" customHeight="1" x14ac:dyDescent="0.3">
      <c r="W429"/>
    </row>
    <row r="430" spans="23:23" ht="14.25" customHeight="1" x14ac:dyDescent="0.3">
      <c r="W430"/>
    </row>
    <row r="431" spans="23:23" ht="14.25" customHeight="1" x14ac:dyDescent="0.3">
      <c r="W431"/>
    </row>
    <row r="432" spans="23:23" ht="14.25" customHeight="1" x14ac:dyDescent="0.3">
      <c r="W432"/>
    </row>
    <row r="433" spans="23:23" ht="14.25" customHeight="1" x14ac:dyDescent="0.3">
      <c r="W433"/>
    </row>
    <row r="434" spans="23:23" ht="14.25" customHeight="1" x14ac:dyDescent="0.3">
      <c r="W434"/>
    </row>
    <row r="435" spans="23:23" ht="14.25" customHeight="1" x14ac:dyDescent="0.3">
      <c r="W435"/>
    </row>
    <row r="436" spans="23:23" ht="14.25" customHeight="1" x14ac:dyDescent="0.3">
      <c r="W436"/>
    </row>
    <row r="437" spans="23:23" ht="14.25" customHeight="1" x14ac:dyDescent="0.3">
      <c r="W437"/>
    </row>
    <row r="438" spans="23:23" ht="14.25" customHeight="1" x14ac:dyDescent="0.3">
      <c r="W438"/>
    </row>
    <row r="439" spans="23:23" ht="14.25" customHeight="1" x14ac:dyDescent="0.3">
      <c r="W439"/>
    </row>
    <row r="440" spans="23:23" ht="14.25" customHeight="1" x14ac:dyDescent="0.3">
      <c r="W440"/>
    </row>
    <row r="441" spans="23:23" ht="14.25" customHeight="1" x14ac:dyDescent="0.3">
      <c r="W441"/>
    </row>
    <row r="442" spans="23:23" ht="14.25" customHeight="1" x14ac:dyDescent="0.3">
      <c r="W442"/>
    </row>
    <row r="443" spans="23:23" ht="14.25" customHeight="1" x14ac:dyDescent="0.3">
      <c r="W443"/>
    </row>
    <row r="444" spans="23:23" ht="14.25" customHeight="1" x14ac:dyDescent="0.3">
      <c r="W444"/>
    </row>
    <row r="445" spans="23:23" ht="14.25" customHeight="1" x14ac:dyDescent="0.3">
      <c r="W445"/>
    </row>
    <row r="446" spans="23:23" ht="14.25" customHeight="1" x14ac:dyDescent="0.3">
      <c r="W446"/>
    </row>
    <row r="447" spans="23:23" ht="14.25" customHeight="1" x14ac:dyDescent="0.3">
      <c r="W447"/>
    </row>
    <row r="448" spans="23:23" ht="14.25" customHeight="1" x14ac:dyDescent="0.3">
      <c r="W448"/>
    </row>
    <row r="449" spans="23:23" ht="14.25" customHeight="1" x14ac:dyDescent="0.3">
      <c r="W449"/>
    </row>
    <row r="450" spans="23:23" ht="14.25" customHeight="1" x14ac:dyDescent="0.3">
      <c r="W450"/>
    </row>
    <row r="451" spans="23:23" ht="14.25" customHeight="1" x14ac:dyDescent="0.3">
      <c r="W451"/>
    </row>
    <row r="452" spans="23:23" ht="14.25" customHeight="1" x14ac:dyDescent="0.3">
      <c r="W452"/>
    </row>
    <row r="453" spans="23:23" ht="14.25" customHeight="1" x14ac:dyDescent="0.3">
      <c r="W453"/>
    </row>
    <row r="454" spans="23:23" ht="14.25" customHeight="1" x14ac:dyDescent="0.3">
      <c r="W454"/>
    </row>
    <row r="455" spans="23:23" ht="14.25" customHeight="1" x14ac:dyDescent="0.3">
      <c r="W455"/>
    </row>
    <row r="456" spans="23:23" ht="14.25" customHeight="1" x14ac:dyDescent="0.3">
      <c r="W456"/>
    </row>
    <row r="457" spans="23:23" ht="14.25" customHeight="1" x14ac:dyDescent="0.3">
      <c r="W457"/>
    </row>
    <row r="458" spans="23:23" ht="14.25" customHeight="1" x14ac:dyDescent="0.3">
      <c r="W458"/>
    </row>
    <row r="459" spans="23:23" ht="14.25" customHeight="1" x14ac:dyDescent="0.3">
      <c r="W459"/>
    </row>
    <row r="460" spans="23:23" ht="14.25" customHeight="1" x14ac:dyDescent="0.3">
      <c r="W460"/>
    </row>
    <row r="461" spans="23:23" ht="14.25" customHeight="1" x14ac:dyDescent="0.3">
      <c r="W461"/>
    </row>
    <row r="462" spans="23:23" ht="14.25" customHeight="1" x14ac:dyDescent="0.3">
      <c r="W462"/>
    </row>
    <row r="463" spans="23:23" ht="14.25" customHeight="1" x14ac:dyDescent="0.3">
      <c r="W463"/>
    </row>
    <row r="464" spans="23:23" ht="14.25" customHeight="1" x14ac:dyDescent="0.3">
      <c r="W464"/>
    </row>
    <row r="465" spans="23:23" ht="14.25" customHeight="1" x14ac:dyDescent="0.3">
      <c r="W465"/>
    </row>
    <row r="466" spans="23:23" ht="14.25" customHeight="1" x14ac:dyDescent="0.3">
      <c r="W466"/>
    </row>
    <row r="467" spans="23:23" ht="14.25" customHeight="1" x14ac:dyDescent="0.3">
      <c r="W467"/>
    </row>
    <row r="468" spans="23:23" ht="14.25" customHeight="1" x14ac:dyDescent="0.3">
      <c r="W468"/>
    </row>
    <row r="469" spans="23:23" ht="14.25" customHeight="1" x14ac:dyDescent="0.3">
      <c r="W469"/>
    </row>
    <row r="470" spans="23:23" ht="14.25" customHeight="1" x14ac:dyDescent="0.3">
      <c r="W470"/>
    </row>
    <row r="471" spans="23:23" ht="14.25" customHeight="1" x14ac:dyDescent="0.3">
      <c r="W471"/>
    </row>
    <row r="472" spans="23:23" ht="14.25" customHeight="1" x14ac:dyDescent="0.3">
      <c r="W472"/>
    </row>
    <row r="473" spans="23:23" ht="14.25" customHeight="1" x14ac:dyDescent="0.3">
      <c r="W473"/>
    </row>
    <row r="474" spans="23:23" ht="14.25" customHeight="1" x14ac:dyDescent="0.3">
      <c r="W474"/>
    </row>
    <row r="475" spans="23:23" ht="14.25" customHeight="1" x14ac:dyDescent="0.3">
      <c r="W475"/>
    </row>
    <row r="476" spans="23:23" ht="14.25" customHeight="1" x14ac:dyDescent="0.3">
      <c r="W476"/>
    </row>
    <row r="477" spans="23:23" ht="14.25" customHeight="1" x14ac:dyDescent="0.3">
      <c r="W477"/>
    </row>
    <row r="478" spans="23:23" ht="14.25" customHeight="1" x14ac:dyDescent="0.3">
      <c r="W478"/>
    </row>
    <row r="479" spans="23:23" ht="14.25" customHeight="1" x14ac:dyDescent="0.3">
      <c r="W479"/>
    </row>
    <row r="480" spans="23:23" ht="14.25" customHeight="1" x14ac:dyDescent="0.3">
      <c r="W480"/>
    </row>
    <row r="481" spans="23:23" ht="14.25" customHeight="1" x14ac:dyDescent="0.3">
      <c r="W481"/>
    </row>
    <row r="482" spans="23:23" ht="14.25" customHeight="1" x14ac:dyDescent="0.3">
      <c r="W482"/>
    </row>
    <row r="483" spans="23:23" ht="14.25" customHeight="1" x14ac:dyDescent="0.3">
      <c r="W483"/>
    </row>
    <row r="484" spans="23:23" ht="14.25" customHeight="1" x14ac:dyDescent="0.3">
      <c r="W484"/>
    </row>
    <row r="485" spans="23:23" ht="14.25" customHeight="1" x14ac:dyDescent="0.3">
      <c r="W485"/>
    </row>
    <row r="486" spans="23:23" ht="14.25" customHeight="1" x14ac:dyDescent="0.3">
      <c r="W486"/>
    </row>
    <row r="487" spans="23:23" ht="14.25" customHeight="1" x14ac:dyDescent="0.3">
      <c r="W487"/>
    </row>
    <row r="488" spans="23:23" ht="14.25" customHeight="1" x14ac:dyDescent="0.3">
      <c r="W488"/>
    </row>
    <row r="489" spans="23:23" ht="14.25" customHeight="1" x14ac:dyDescent="0.3">
      <c r="W489"/>
    </row>
    <row r="490" spans="23:23" ht="14.25" customHeight="1" x14ac:dyDescent="0.3">
      <c r="W490"/>
    </row>
    <row r="491" spans="23:23" ht="14.25" customHeight="1" x14ac:dyDescent="0.3">
      <c r="W491"/>
    </row>
    <row r="492" spans="23:23" ht="14.25" customHeight="1" x14ac:dyDescent="0.3">
      <c r="W492"/>
    </row>
    <row r="493" spans="23:23" ht="14.25" customHeight="1" x14ac:dyDescent="0.3">
      <c r="W493"/>
    </row>
    <row r="494" spans="23:23" ht="14.25" customHeight="1" x14ac:dyDescent="0.3">
      <c r="W494"/>
    </row>
    <row r="495" spans="23:23" ht="14.25" customHeight="1" x14ac:dyDescent="0.3">
      <c r="W495"/>
    </row>
    <row r="496" spans="23:23" ht="14.25" customHeight="1" x14ac:dyDescent="0.3">
      <c r="W496"/>
    </row>
    <row r="497" spans="23:23" ht="14.25" customHeight="1" x14ac:dyDescent="0.3">
      <c r="W497"/>
    </row>
    <row r="498" spans="23:23" ht="14.25" customHeight="1" x14ac:dyDescent="0.3">
      <c r="W498"/>
    </row>
    <row r="499" spans="23:23" ht="14.25" customHeight="1" x14ac:dyDescent="0.3">
      <c r="W499"/>
    </row>
    <row r="500" spans="23:23" ht="14.25" customHeight="1" x14ac:dyDescent="0.3">
      <c r="W500"/>
    </row>
    <row r="501" spans="23:23" ht="14.25" customHeight="1" x14ac:dyDescent="0.3">
      <c r="W501"/>
    </row>
    <row r="502" spans="23:23" ht="14.25" customHeight="1" x14ac:dyDescent="0.3">
      <c r="W502"/>
    </row>
    <row r="503" spans="23:23" ht="14.25" customHeight="1" x14ac:dyDescent="0.3">
      <c r="W503"/>
    </row>
    <row r="504" spans="23:23" ht="14.25" customHeight="1" x14ac:dyDescent="0.3">
      <c r="W504"/>
    </row>
    <row r="505" spans="23:23" ht="14.25" customHeight="1" x14ac:dyDescent="0.3">
      <c r="W505"/>
    </row>
    <row r="506" spans="23:23" ht="14.25" customHeight="1" x14ac:dyDescent="0.3">
      <c r="W506"/>
    </row>
    <row r="507" spans="23:23" ht="14.25" customHeight="1" x14ac:dyDescent="0.3">
      <c r="W507"/>
    </row>
    <row r="508" spans="23:23" ht="14.25" customHeight="1" x14ac:dyDescent="0.3">
      <c r="W508"/>
    </row>
    <row r="509" spans="23:23" ht="14.25" customHeight="1" x14ac:dyDescent="0.3">
      <c r="W509"/>
    </row>
    <row r="510" spans="23:23" ht="14.25" customHeight="1" x14ac:dyDescent="0.3">
      <c r="W510"/>
    </row>
    <row r="511" spans="23:23" ht="14.25" customHeight="1" x14ac:dyDescent="0.3">
      <c r="W511"/>
    </row>
    <row r="512" spans="23:23" ht="14.25" customHeight="1" x14ac:dyDescent="0.3">
      <c r="W512"/>
    </row>
    <row r="513" spans="23:23" ht="14.25" customHeight="1" x14ac:dyDescent="0.3">
      <c r="W513"/>
    </row>
    <row r="514" spans="23:23" ht="14.25" customHeight="1" x14ac:dyDescent="0.3">
      <c r="W514"/>
    </row>
    <row r="515" spans="23:23" ht="14.25" customHeight="1" x14ac:dyDescent="0.3">
      <c r="W515"/>
    </row>
    <row r="516" spans="23:23" ht="14.25" customHeight="1" x14ac:dyDescent="0.3">
      <c r="W516"/>
    </row>
    <row r="517" spans="23:23" ht="14.25" customHeight="1" x14ac:dyDescent="0.3">
      <c r="W517"/>
    </row>
    <row r="518" spans="23:23" ht="14.25" customHeight="1" x14ac:dyDescent="0.3">
      <c r="W518"/>
    </row>
    <row r="519" spans="23:23" ht="14.25" customHeight="1" x14ac:dyDescent="0.3">
      <c r="W519"/>
    </row>
    <row r="520" spans="23:23" ht="14.25" customHeight="1" x14ac:dyDescent="0.3">
      <c r="W520"/>
    </row>
    <row r="521" spans="23:23" ht="14.25" customHeight="1" x14ac:dyDescent="0.3">
      <c r="W521"/>
    </row>
    <row r="522" spans="23:23" ht="14.25" customHeight="1" x14ac:dyDescent="0.3">
      <c r="W522"/>
    </row>
    <row r="523" spans="23:23" ht="14.25" customHeight="1" x14ac:dyDescent="0.3">
      <c r="W523"/>
    </row>
    <row r="524" spans="23:23" ht="14.25" customHeight="1" x14ac:dyDescent="0.3">
      <c r="W524"/>
    </row>
    <row r="525" spans="23:23" ht="14.25" customHeight="1" x14ac:dyDescent="0.3">
      <c r="W525"/>
    </row>
    <row r="526" spans="23:23" ht="14.25" customHeight="1" x14ac:dyDescent="0.3">
      <c r="W526"/>
    </row>
    <row r="527" spans="23:23" ht="14.25" customHeight="1" x14ac:dyDescent="0.3">
      <c r="W527"/>
    </row>
    <row r="528" spans="23:23" ht="14.25" customHeight="1" x14ac:dyDescent="0.3">
      <c r="W528"/>
    </row>
    <row r="529" spans="23:23" ht="14.25" customHeight="1" x14ac:dyDescent="0.3">
      <c r="W529"/>
    </row>
    <row r="530" spans="23:23" ht="14.25" customHeight="1" x14ac:dyDescent="0.3">
      <c r="W530"/>
    </row>
    <row r="531" spans="23:23" ht="14.25" customHeight="1" x14ac:dyDescent="0.3">
      <c r="W531"/>
    </row>
    <row r="532" spans="23:23" ht="14.25" customHeight="1" x14ac:dyDescent="0.3">
      <c r="W532"/>
    </row>
    <row r="533" spans="23:23" ht="14.25" customHeight="1" x14ac:dyDescent="0.3">
      <c r="W533"/>
    </row>
    <row r="534" spans="23:23" ht="14.25" customHeight="1" x14ac:dyDescent="0.3">
      <c r="W534"/>
    </row>
    <row r="535" spans="23:23" ht="14.25" customHeight="1" x14ac:dyDescent="0.3">
      <c r="W535"/>
    </row>
    <row r="536" spans="23:23" ht="14.25" customHeight="1" x14ac:dyDescent="0.3">
      <c r="W536"/>
    </row>
    <row r="537" spans="23:23" ht="14.25" customHeight="1" x14ac:dyDescent="0.3">
      <c r="W537"/>
    </row>
    <row r="538" spans="23:23" ht="14.25" customHeight="1" x14ac:dyDescent="0.3">
      <c r="W538"/>
    </row>
    <row r="539" spans="23:23" ht="14.25" customHeight="1" x14ac:dyDescent="0.3">
      <c r="W539"/>
    </row>
    <row r="540" spans="23:23" ht="14.25" customHeight="1" x14ac:dyDescent="0.3">
      <c r="W540"/>
    </row>
    <row r="541" spans="23:23" ht="14.25" customHeight="1" x14ac:dyDescent="0.3">
      <c r="W541"/>
    </row>
    <row r="542" spans="23:23" ht="14.25" customHeight="1" x14ac:dyDescent="0.3">
      <c r="W542"/>
    </row>
    <row r="543" spans="23:23" ht="14.25" customHeight="1" x14ac:dyDescent="0.3">
      <c r="W543"/>
    </row>
    <row r="544" spans="23:23" ht="14.25" customHeight="1" x14ac:dyDescent="0.3">
      <c r="W544"/>
    </row>
    <row r="545" spans="23:23" ht="14.25" customHeight="1" x14ac:dyDescent="0.3">
      <c r="W545"/>
    </row>
    <row r="546" spans="23:23" ht="14.25" customHeight="1" x14ac:dyDescent="0.3">
      <c r="W546"/>
    </row>
    <row r="547" spans="23:23" ht="14.25" customHeight="1" x14ac:dyDescent="0.3">
      <c r="W547"/>
    </row>
    <row r="548" spans="23:23" ht="14.25" customHeight="1" x14ac:dyDescent="0.3">
      <c r="W548"/>
    </row>
    <row r="549" spans="23:23" ht="14.25" customHeight="1" x14ac:dyDescent="0.3">
      <c r="W549"/>
    </row>
    <row r="550" spans="23:23" ht="14.25" customHeight="1" x14ac:dyDescent="0.3">
      <c r="W550"/>
    </row>
    <row r="551" spans="23:23" ht="14.25" customHeight="1" x14ac:dyDescent="0.3">
      <c r="W551"/>
    </row>
    <row r="552" spans="23:23" ht="14.25" customHeight="1" x14ac:dyDescent="0.3">
      <c r="W552"/>
    </row>
    <row r="553" spans="23:23" ht="14.25" customHeight="1" x14ac:dyDescent="0.3">
      <c r="W553"/>
    </row>
    <row r="554" spans="23:23" ht="14.25" customHeight="1" x14ac:dyDescent="0.3">
      <c r="W554"/>
    </row>
    <row r="555" spans="23:23" ht="14.25" customHeight="1" x14ac:dyDescent="0.3">
      <c r="W555"/>
    </row>
    <row r="556" spans="23:23" ht="14.25" customHeight="1" x14ac:dyDescent="0.3">
      <c r="W556"/>
    </row>
    <row r="557" spans="23:23" ht="14.25" customHeight="1" x14ac:dyDescent="0.3">
      <c r="W557"/>
    </row>
    <row r="558" spans="23:23" ht="14.25" customHeight="1" x14ac:dyDescent="0.3">
      <c r="W558"/>
    </row>
    <row r="559" spans="23:23" ht="14.25" customHeight="1" x14ac:dyDescent="0.3">
      <c r="W559"/>
    </row>
    <row r="560" spans="23:23" ht="14.25" customHeight="1" x14ac:dyDescent="0.3">
      <c r="W560"/>
    </row>
    <row r="561" spans="23:23" ht="14.25" customHeight="1" x14ac:dyDescent="0.3">
      <c r="W561"/>
    </row>
    <row r="562" spans="23:23" ht="14.25" customHeight="1" x14ac:dyDescent="0.3">
      <c r="W562"/>
    </row>
    <row r="563" spans="23:23" ht="14.25" customHeight="1" x14ac:dyDescent="0.3">
      <c r="W563"/>
    </row>
    <row r="564" spans="23:23" ht="14.25" customHeight="1" x14ac:dyDescent="0.3">
      <c r="W564"/>
    </row>
    <row r="565" spans="23:23" ht="14.25" customHeight="1" x14ac:dyDescent="0.3">
      <c r="W565"/>
    </row>
    <row r="566" spans="23:23" ht="14.25" customHeight="1" x14ac:dyDescent="0.3">
      <c r="W566"/>
    </row>
    <row r="567" spans="23:23" ht="14.25" customHeight="1" x14ac:dyDescent="0.3">
      <c r="W567"/>
    </row>
    <row r="568" spans="23:23" ht="14.25" customHeight="1" x14ac:dyDescent="0.3">
      <c r="W568"/>
    </row>
    <row r="569" spans="23:23" ht="14.25" customHeight="1" x14ac:dyDescent="0.3">
      <c r="W569"/>
    </row>
    <row r="570" spans="23:23" ht="14.25" customHeight="1" x14ac:dyDescent="0.3">
      <c r="W570"/>
    </row>
    <row r="571" spans="23:23" ht="14.25" customHeight="1" x14ac:dyDescent="0.3">
      <c r="W571"/>
    </row>
    <row r="572" spans="23:23" ht="14.25" customHeight="1" x14ac:dyDescent="0.3">
      <c r="W572"/>
    </row>
    <row r="573" spans="23:23" ht="14.25" customHeight="1" x14ac:dyDescent="0.3">
      <c r="W573"/>
    </row>
    <row r="574" spans="23:23" ht="14.25" customHeight="1" x14ac:dyDescent="0.3">
      <c r="W574"/>
    </row>
    <row r="575" spans="23:23" ht="14.25" customHeight="1" x14ac:dyDescent="0.3">
      <c r="W575"/>
    </row>
    <row r="576" spans="23:23" ht="14.25" customHeight="1" x14ac:dyDescent="0.3">
      <c r="W576"/>
    </row>
    <row r="577" spans="23:23" ht="14.25" customHeight="1" x14ac:dyDescent="0.3">
      <c r="W577"/>
    </row>
    <row r="578" spans="23:23" ht="14.25" customHeight="1" x14ac:dyDescent="0.3">
      <c r="W578"/>
    </row>
    <row r="579" spans="23:23" ht="14.25" customHeight="1" x14ac:dyDescent="0.3">
      <c r="W579"/>
    </row>
    <row r="580" spans="23:23" ht="14.25" customHeight="1" x14ac:dyDescent="0.3">
      <c r="W580"/>
    </row>
    <row r="581" spans="23:23" ht="14.25" customHeight="1" x14ac:dyDescent="0.3">
      <c r="W581"/>
    </row>
    <row r="582" spans="23:23" ht="14.25" customHeight="1" x14ac:dyDescent="0.3">
      <c r="W582"/>
    </row>
    <row r="583" spans="23:23" ht="14.25" customHeight="1" x14ac:dyDescent="0.3">
      <c r="W583"/>
    </row>
    <row r="584" spans="23:23" ht="14.25" customHeight="1" x14ac:dyDescent="0.3">
      <c r="W584"/>
    </row>
    <row r="585" spans="23:23" ht="14.25" customHeight="1" x14ac:dyDescent="0.3">
      <c r="W585"/>
    </row>
    <row r="586" spans="23:23" ht="14.25" customHeight="1" x14ac:dyDescent="0.3">
      <c r="W586"/>
    </row>
    <row r="587" spans="23:23" ht="14.25" customHeight="1" x14ac:dyDescent="0.3">
      <c r="W587"/>
    </row>
    <row r="588" spans="23:23" ht="14.25" customHeight="1" x14ac:dyDescent="0.3">
      <c r="W588"/>
    </row>
    <row r="589" spans="23:23" ht="14.25" customHeight="1" x14ac:dyDescent="0.3">
      <c r="W589"/>
    </row>
    <row r="590" spans="23:23" ht="14.25" customHeight="1" x14ac:dyDescent="0.3">
      <c r="W590"/>
    </row>
    <row r="591" spans="23:23" ht="14.25" customHeight="1" x14ac:dyDescent="0.3">
      <c r="W591"/>
    </row>
    <row r="592" spans="23:23" ht="14.25" customHeight="1" x14ac:dyDescent="0.3">
      <c r="W592"/>
    </row>
    <row r="593" spans="23:23" ht="14.25" customHeight="1" x14ac:dyDescent="0.3">
      <c r="W593"/>
    </row>
    <row r="594" spans="23:23" ht="14.25" customHeight="1" x14ac:dyDescent="0.3">
      <c r="W594"/>
    </row>
    <row r="595" spans="23:23" ht="14.25" customHeight="1" x14ac:dyDescent="0.3">
      <c r="W595"/>
    </row>
    <row r="596" spans="23:23" ht="14.25" customHeight="1" x14ac:dyDescent="0.3">
      <c r="W596"/>
    </row>
    <row r="597" spans="23:23" ht="14.25" customHeight="1" x14ac:dyDescent="0.3">
      <c r="W597"/>
    </row>
    <row r="598" spans="23:23" ht="14.25" customHeight="1" x14ac:dyDescent="0.3">
      <c r="W598"/>
    </row>
    <row r="599" spans="23:23" ht="14.25" customHeight="1" x14ac:dyDescent="0.3">
      <c r="W599"/>
    </row>
    <row r="600" spans="23:23" ht="14.25" customHeight="1" x14ac:dyDescent="0.3">
      <c r="W600"/>
    </row>
    <row r="601" spans="23:23" ht="14.25" customHeight="1" x14ac:dyDescent="0.3">
      <c r="W601"/>
    </row>
    <row r="602" spans="23:23" ht="14.25" customHeight="1" x14ac:dyDescent="0.3">
      <c r="W602"/>
    </row>
    <row r="603" spans="23:23" ht="14.25" customHeight="1" x14ac:dyDescent="0.3">
      <c r="W603"/>
    </row>
    <row r="604" spans="23:23" ht="14.25" customHeight="1" x14ac:dyDescent="0.3">
      <c r="W604"/>
    </row>
    <row r="605" spans="23:23" ht="14.25" customHeight="1" x14ac:dyDescent="0.3">
      <c r="W605"/>
    </row>
    <row r="606" spans="23:23" ht="14.25" customHeight="1" x14ac:dyDescent="0.3">
      <c r="W606"/>
    </row>
    <row r="607" spans="23:23" ht="14.25" customHeight="1" x14ac:dyDescent="0.3">
      <c r="W607"/>
    </row>
    <row r="608" spans="23:23" ht="14.25" customHeight="1" x14ac:dyDescent="0.3">
      <c r="W608"/>
    </row>
    <row r="609" spans="23:23" ht="14.25" customHeight="1" x14ac:dyDescent="0.3">
      <c r="W609"/>
    </row>
    <row r="610" spans="23:23" ht="14.25" customHeight="1" x14ac:dyDescent="0.3">
      <c r="W610"/>
    </row>
    <row r="611" spans="23:23" ht="14.25" customHeight="1" x14ac:dyDescent="0.3">
      <c r="W611"/>
    </row>
    <row r="612" spans="23:23" ht="14.25" customHeight="1" x14ac:dyDescent="0.3">
      <c r="W612"/>
    </row>
    <row r="613" spans="23:23" ht="14.25" customHeight="1" x14ac:dyDescent="0.3">
      <c r="W613"/>
    </row>
    <row r="614" spans="23:23" ht="14.25" customHeight="1" x14ac:dyDescent="0.3">
      <c r="W614"/>
    </row>
    <row r="615" spans="23:23" ht="14.25" customHeight="1" x14ac:dyDescent="0.3">
      <c r="W615"/>
    </row>
    <row r="616" spans="23:23" ht="14.25" customHeight="1" x14ac:dyDescent="0.3">
      <c r="W616"/>
    </row>
    <row r="617" spans="23:23" ht="14.25" customHeight="1" x14ac:dyDescent="0.3">
      <c r="W617"/>
    </row>
    <row r="618" spans="23:23" ht="14.25" customHeight="1" x14ac:dyDescent="0.3">
      <c r="W618"/>
    </row>
    <row r="619" spans="23:23" ht="14.25" customHeight="1" x14ac:dyDescent="0.3">
      <c r="W619"/>
    </row>
    <row r="620" spans="23:23" ht="14.25" customHeight="1" x14ac:dyDescent="0.3">
      <c r="W620"/>
    </row>
    <row r="621" spans="23:23" ht="14.25" customHeight="1" x14ac:dyDescent="0.3">
      <c r="W621"/>
    </row>
    <row r="622" spans="23:23" ht="14.25" customHeight="1" x14ac:dyDescent="0.3">
      <c r="W622"/>
    </row>
    <row r="623" spans="23:23" ht="14.25" customHeight="1" x14ac:dyDescent="0.3">
      <c r="W623"/>
    </row>
    <row r="624" spans="23:23" ht="14.25" customHeight="1" x14ac:dyDescent="0.3">
      <c r="W624"/>
    </row>
    <row r="625" spans="23:23" ht="14.25" customHeight="1" x14ac:dyDescent="0.3">
      <c r="W625"/>
    </row>
    <row r="626" spans="23:23" ht="14.25" customHeight="1" x14ac:dyDescent="0.3">
      <c r="W626"/>
    </row>
    <row r="627" spans="23:23" ht="14.25" customHeight="1" x14ac:dyDescent="0.3">
      <c r="W627"/>
    </row>
    <row r="628" spans="23:23" ht="14.25" customHeight="1" x14ac:dyDescent="0.3">
      <c r="W628"/>
    </row>
    <row r="629" spans="23:23" ht="14.25" customHeight="1" x14ac:dyDescent="0.3">
      <c r="W629"/>
    </row>
    <row r="630" spans="23:23" ht="14.25" customHeight="1" x14ac:dyDescent="0.3">
      <c r="W630"/>
    </row>
    <row r="631" spans="23:23" ht="14.25" customHeight="1" x14ac:dyDescent="0.3">
      <c r="W631"/>
    </row>
    <row r="632" spans="23:23" ht="14.25" customHeight="1" x14ac:dyDescent="0.3">
      <c r="W632"/>
    </row>
    <row r="633" spans="23:23" ht="14.25" customHeight="1" x14ac:dyDescent="0.3">
      <c r="W633"/>
    </row>
    <row r="634" spans="23:23" ht="14.25" customHeight="1" x14ac:dyDescent="0.3">
      <c r="W634"/>
    </row>
    <row r="635" spans="23:23" ht="14.25" customHeight="1" x14ac:dyDescent="0.3">
      <c r="W635"/>
    </row>
    <row r="636" spans="23:23" ht="14.25" customHeight="1" x14ac:dyDescent="0.3">
      <c r="W636"/>
    </row>
    <row r="637" spans="23:23" ht="14.25" customHeight="1" x14ac:dyDescent="0.3">
      <c r="W637"/>
    </row>
    <row r="638" spans="23:23" ht="14.25" customHeight="1" x14ac:dyDescent="0.3">
      <c r="W638"/>
    </row>
    <row r="639" spans="23:23" ht="14.25" customHeight="1" x14ac:dyDescent="0.3">
      <c r="W639"/>
    </row>
    <row r="640" spans="23:23" ht="14.25" customHeight="1" x14ac:dyDescent="0.3">
      <c r="W640"/>
    </row>
    <row r="641" spans="23:23" ht="14.25" customHeight="1" x14ac:dyDescent="0.3">
      <c r="W641"/>
    </row>
    <row r="642" spans="23:23" ht="14.25" customHeight="1" x14ac:dyDescent="0.3">
      <c r="W642"/>
    </row>
    <row r="643" spans="23:23" ht="14.25" customHeight="1" x14ac:dyDescent="0.3">
      <c r="W643"/>
    </row>
    <row r="644" spans="23:23" ht="14.25" customHeight="1" x14ac:dyDescent="0.3">
      <c r="W644"/>
    </row>
    <row r="645" spans="23:23" ht="14.25" customHeight="1" x14ac:dyDescent="0.3">
      <c r="W645"/>
    </row>
    <row r="646" spans="23:23" ht="14.25" customHeight="1" x14ac:dyDescent="0.3">
      <c r="W646"/>
    </row>
    <row r="647" spans="23:23" ht="14.25" customHeight="1" x14ac:dyDescent="0.3">
      <c r="W647"/>
    </row>
    <row r="648" spans="23:23" ht="14.25" customHeight="1" x14ac:dyDescent="0.3">
      <c r="W648"/>
    </row>
    <row r="649" spans="23:23" ht="14.25" customHeight="1" x14ac:dyDescent="0.3">
      <c r="W649"/>
    </row>
    <row r="650" spans="23:23" ht="14.25" customHeight="1" x14ac:dyDescent="0.3">
      <c r="W650"/>
    </row>
    <row r="651" spans="23:23" ht="14.25" customHeight="1" x14ac:dyDescent="0.3">
      <c r="W651"/>
    </row>
    <row r="652" spans="23:23" ht="14.25" customHeight="1" x14ac:dyDescent="0.3">
      <c r="W652"/>
    </row>
    <row r="653" spans="23:23" ht="14.25" customHeight="1" x14ac:dyDescent="0.3">
      <c r="W653"/>
    </row>
    <row r="654" spans="23:23" ht="14.25" customHeight="1" x14ac:dyDescent="0.3">
      <c r="W654"/>
    </row>
    <row r="655" spans="23:23" ht="14.25" customHeight="1" x14ac:dyDescent="0.3">
      <c r="W655"/>
    </row>
    <row r="656" spans="23:23" ht="14.25" customHeight="1" x14ac:dyDescent="0.3">
      <c r="W656"/>
    </row>
    <row r="657" spans="23:23" ht="14.25" customHeight="1" x14ac:dyDescent="0.3">
      <c r="W657"/>
    </row>
    <row r="658" spans="23:23" ht="14.25" customHeight="1" x14ac:dyDescent="0.3">
      <c r="W658"/>
    </row>
    <row r="659" spans="23:23" ht="14.25" customHeight="1" x14ac:dyDescent="0.3">
      <c r="W659"/>
    </row>
    <row r="660" spans="23:23" ht="14.25" customHeight="1" x14ac:dyDescent="0.3">
      <c r="W660"/>
    </row>
    <row r="661" spans="23:23" ht="14.25" customHeight="1" x14ac:dyDescent="0.3">
      <c r="W661"/>
    </row>
    <row r="662" spans="23:23" ht="14.25" customHeight="1" x14ac:dyDescent="0.3">
      <c r="W662"/>
    </row>
    <row r="663" spans="23:23" ht="14.25" customHeight="1" x14ac:dyDescent="0.3">
      <c r="W663"/>
    </row>
    <row r="664" spans="23:23" ht="14.25" customHeight="1" x14ac:dyDescent="0.3">
      <c r="W664"/>
    </row>
    <row r="665" spans="23:23" ht="14.25" customHeight="1" x14ac:dyDescent="0.3">
      <c r="W665"/>
    </row>
    <row r="666" spans="23:23" ht="14.25" customHeight="1" x14ac:dyDescent="0.3">
      <c r="W666"/>
    </row>
    <row r="667" spans="23:23" ht="14.25" customHeight="1" x14ac:dyDescent="0.3">
      <c r="W667"/>
    </row>
    <row r="668" spans="23:23" ht="14.25" customHeight="1" x14ac:dyDescent="0.3">
      <c r="W668"/>
    </row>
    <row r="669" spans="23:23" ht="14.25" customHeight="1" x14ac:dyDescent="0.3">
      <c r="W669"/>
    </row>
    <row r="670" spans="23:23" ht="14.25" customHeight="1" x14ac:dyDescent="0.3">
      <c r="W670"/>
    </row>
    <row r="671" spans="23:23" ht="14.25" customHeight="1" x14ac:dyDescent="0.3">
      <c r="W671"/>
    </row>
    <row r="672" spans="23:23" ht="14.25" customHeight="1" x14ac:dyDescent="0.3">
      <c r="W672"/>
    </row>
    <row r="673" spans="23:23" ht="14.25" customHeight="1" x14ac:dyDescent="0.3">
      <c r="W673"/>
    </row>
    <row r="674" spans="23:23" ht="14.25" customHeight="1" x14ac:dyDescent="0.3">
      <c r="W674"/>
    </row>
    <row r="675" spans="23:23" ht="14.25" customHeight="1" x14ac:dyDescent="0.3">
      <c r="W675"/>
    </row>
    <row r="676" spans="23:23" ht="14.25" customHeight="1" x14ac:dyDescent="0.3">
      <c r="W676"/>
    </row>
    <row r="677" spans="23:23" ht="14.25" customHeight="1" x14ac:dyDescent="0.3">
      <c r="W677"/>
    </row>
    <row r="678" spans="23:23" ht="14.25" customHeight="1" x14ac:dyDescent="0.3">
      <c r="W678"/>
    </row>
    <row r="679" spans="23:23" ht="14.25" customHeight="1" x14ac:dyDescent="0.3">
      <c r="W679"/>
    </row>
    <row r="680" spans="23:23" ht="14.25" customHeight="1" x14ac:dyDescent="0.3">
      <c r="W680"/>
    </row>
    <row r="681" spans="23:23" ht="14.25" customHeight="1" x14ac:dyDescent="0.3">
      <c r="W681"/>
    </row>
    <row r="682" spans="23:23" ht="14.25" customHeight="1" x14ac:dyDescent="0.3">
      <c r="W682"/>
    </row>
    <row r="683" spans="23:23" ht="14.25" customHeight="1" x14ac:dyDescent="0.3">
      <c r="W683"/>
    </row>
    <row r="684" spans="23:23" ht="14.25" customHeight="1" x14ac:dyDescent="0.3">
      <c r="W684"/>
    </row>
    <row r="685" spans="23:23" ht="14.25" customHeight="1" x14ac:dyDescent="0.3">
      <c r="W685"/>
    </row>
    <row r="686" spans="23:23" ht="14.25" customHeight="1" x14ac:dyDescent="0.3">
      <c r="W686"/>
    </row>
    <row r="687" spans="23:23" ht="14.25" customHeight="1" x14ac:dyDescent="0.3">
      <c r="W687"/>
    </row>
    <row r="688" spans="23:23" ht="14.25" customHeight="1" x14ac:dyDescent="0.3">
      <c r="W688"/>
    </row>
    <row r="689" spans="23:23" ht="14.25" customHeight="1" x14ac:dyDescent="0.3">
      <c r="W689"/>
    </row>
    <row r="690" spans="23:23" ht="14.25" customHeight="1" x14ac:dyDescent="0.3">
      <c r="W690"/>
    </row>
    <row r="691" spans="23:23" ht="14.25" customHeight="1" x14ac:dyDescent="0.3">
      <c r="W691"/>
    </row>
    <row r="692" spans="23:23" ht="14.25" customHeight="1" x14ac:dyDescent="0.3">
      <c r="W692"/>
    </row>
    <row r="693" spans="23:23" ht="14.25" customHeight="1" x14ac:dyDescent="0.3">
      <c r="W693"/>
    </row>
    <row r="694" spans="23:23" ht="14.25" customHeight="1" x14ac:dyDescent="0.3">
      <c r="W694"/>
    </row>
    <row r="695" spans="23:23" ht="14.25" customHeight="1" x14ac:dyDescent="0.3">
      <c r="W695"/>
    </row>
    <row r="696" spans="23:23" ht="14.25" customHeight="1" x14ac:dyDescent="0.3">
      <c r="W696"/>
    </row>
    <row r="697" spans="23:23" ht="14.25" customHeight="1" x14ac:dyDescent="0.3">
      <c r="W697"/>
    </row>
    <row r="698" spans="23:23" ht="14.25" customHeight="1" x14ac:dyDescent="0.3">
      <c r="W698"/>
    </row>
    <row r="699" spans="23:23" ht="14.25" customHeight="1" x14ac:dyDescent="0.3">
      <c r="W699"/>
    </row>
    <row r="700" spans="23:23" ht="14.25" customHeight="1" x14ac:dyDescent="0.3">
      <c r="W700"/>
    </row>
    <row r="701" spans="23:23" ht="14.25" customHeight="1" x14ac:dyDescent="0.3">
      <c r="W701"/>
    </row>
    <row r="702" spans="23:23" ht="14.25" customHeight="1" x14ac:dyDescent="0.3">
      <c r="W702"/>
    </row>
    <row r="703" spans="23:23" ht="14.25" customHeight="1" x14ac:dyDescent="0.3">
      <c r="W703"/>
    </row>
    <row r="704" spans="23:23" ht="14.25" customHeight="1" x14ac:dyDescent="0.3">
      <c r="W704"/>
    </row>
    <row r="705" spans="23:23" ht="14.25" customHeight="1" x14ac:dyDescent="0.3">
      <c r="W705"/>
    </row>
    <row r="706" spans="23:23" ht="14.25" customHeight="1" x14ac:dyDescent="0.3">
      <c r="W706"/>
    </row>
    <row r="707" spans="23:23" ht="14.25" customHeight="1" x14ac:dyDescent="0.3">
      <c r="W707"/>
    </row>
    <row r="708" spans="23:23" ht="14.25" customHeight="1" x14ac:dyDescent="0.3">
      <c r="W708"/>
    </row>
    <row r="709" spans="23:23" ht="14.25" customHeight="1" x14ac:dyDescent="0.3">
      <c r="W709"/>
    </row>
    <row r="710" spans="23:23" ht="14.25" customHeight="1" x14ac:dyDescent="0.3">
      <c r="W710"/>
    </row>
    <row r="711" spans="23:23" ht="14.25" customHeight="1" x14ac:dyDescent="0.3">
      <c r="W711"/>
    </row>
    <row r="712" spans="23:23" ht="14.25" customHeight="1" x14ac:dyDescent="0.3">
      <c r="W712"/>
    </row>
    <row r="713" spans="23:23" ht="14.25" customHeight="1" x14ac:dyDescent="0.3">
      <c r="W713"/>
    </row>
    <row r="714" spans="23:23" ht="14.25" customHeight="1" x14ac:dyDescent="0.3">
      <c r="W714"/>
    </row>
    <row r="715" spans="23:23" ht="14.25" customHeight="1" x14ac:dyDescent="0.3">
      <c r="W715"/>
    </row>
    <row r="716" spans="23:23" ht="14.25" customHeight="1" x14ac:dyDescent="0.3">
      <c r="W716"/>
    </row>
    <row r="717" spans="23:23" ht="14.25" customHeight="1" x14ac:dyDescent="0.3">
      <c r="W717"/>
    </row>
    <row r="718" spans="23:23" ht="14.25" customHeight="1" x14ac:dyDescent="0.3">
      <c r="W718"/>
    </row>
    <row r="719" spans="23:23" ht="14.25" customHeight="1" x14ac:dyDescent="0.3">
      <c r="W719"/>
    </row>
    <row r="720" spans="23:23" ht="14.25" customHeight="1" x14ac:dyDescent="0.3">
      <c r="W720"/>
    </row>
    <row r="721" spans="23:23" ht="14.25" customHeight="1" x14ac:dyDescent="0.3">
      <c r="W721"/>
    </row>
    <row r="722" spans="23:23" ht="14.25" customHeight="1" x14ac:dyDescent="0.3">
      <c r="W722"/>
    </row>
    <row r="723" spans="23:23" ht="14.25" customHeight="1" x14ac:dyDescent="0.3">
      <c r="W723"/>
    </row>
    <row r="724" spans="23:23" ht="14.25" customHeight="1" x14ac:dyDescent="0.3">
      <c r="W724"/>
    </row>
    <row r="725" spans="23:23" ht="14.25" customHeight="1" x14ac:dyDescent="0.3">
      <c r="W725"/>
    </row>
    <row r="726" spans="23:23" ht="14.25" customHeight="1" x14ac:dyDescent="0.3">
      <c r="W726"/>
    </row>
    <row r="727" spans="23:23" ht="14.25" customHeight="1" x14ac:dyDescent="0.3">
      <c r="W727"/>
    </row>
    <row r="728" spans="23:23" ht="14.25" customHeight="1" x14ac:dyDescent="0.3">
      <c r="W728"/>
    </row>
    <row r="729" spans="23:23" ht="14.25" customHeight="1" x14ac:dyDescent="0.3">
      <c r="W729"/>
    </row>
    <row r="730" spans="23:23" ht="14.25" customHeight="1" x14ac:dyDescent="0.3">
      <c r="W730"/>
    </row>
    <row r="731" spans="23:23" ht="14.25" customHeight="1" x14ac:dyDescent="0.3">
      <c r="W731"/>
    </row>
    <row r="732" spans="23:23" ht="14.25" customHeight="1" x14ac:dyDescent="0.3">
      <c r="W732"/>
    </row>
    <row r="733" spans="23:23" ht="14.25" customHeight="1" x14ac:dyDescent="0.3">
      <c r="W733"/>
    </row>
    <row r="734" spans="23:23" ht="14.25" customHeight="1" x14ac:dyDescent="0.3">
      <c r="W734"/>
    </row>
    <row r="735" spans="23:23" ht="14.25" customHeight="1" x14ac:dyDescent="0.3">
      <c r="W735"/>
    </row>
    <row r="736" spans="23:23" ht="14.25" customHeight="1" x14ac:dyDescent="0.3">
      <c r="W736"/>
    </row>
    <row r="737" spans="23:23" ht="14.25" customHeight="1" x14ac:dyDescent="0.3">
      <c r="W737"/>
    </row>
    <row r="738" spans="23:23" ht="14.25" customHeight="1" x14ac:dyDescent="0.3">
      <c r="W738"/>
    </row>
    <row r="739" spans="23:23" ht="14.25" customHeight="1" x14ac:dyDescent="0.3">
      <c r="W739"/>
    </row>
    <row r="740" spans="23:23" ht="14.25" customHeight="1" x14ac:dyDescent="0.3">
      <c r="W740"/>
    </row>
    <row r="741" spans="23:23" ht="14.25" customHeight="1" x14ac:dyDescent="0.3">
      <c r="W741"/>
    </row>
    <row r="742" spans="23:23" ht="14.25" customHeight="1" x14ac:dyDescent="0.3">
      <c r="W742"/>
    </row>
    <row r="743" spans="23:23" ht="14.25" customHeight="1" x14ac:dyDescent="0.3">
      <c r="W743"/>
    </row>
    <row r="744" spans="23:23" ht="14.25" customHeight="1" x14ac:dyDescent="0.3">
      <c r="W744"/>
    </row>
    <row r="745" spans="23:23" ht="14.25" customHeight="1" x14ac:dyDescent="0.3">
      <c r="W745"/>
    </row>
    <row r="746" spans="23:23" ht="14.25" customHeight="1" x14ac:dyDescent="0.3">
      <c r="W746"/>
    </row>
    <row r="747" spans="23:23" ht="14.25" customHeight="1" x14ac:dyDescent="0.3">
      <c r="W747"/>
    </row>
    <row r="748" spans="23:23" ht="14.25" customHeight="1" x14ac:dyDescent="0.3">
      <c r="W748"/>
    </row>
    <row r="749" spans="23:23" ht="14.25" customHeight="1" x14ac:dyDescent="0.3">
      <c r="W749"/>
    </row>
    <row r="750" spans="23:23" ht="14.25" customHeight="1" x14ac:dyDescent="0.3">
      <c r="W750"/>
    </row>
    <row r="751" spans="23:23" ht="14.25" customHeight="1" x14ac:dyDescent="0.3">
      <c r="W751"/>
    </row>
    <row r="752" spans="23:23" ht="14.25" customHeight="1" x14ac:dyDescent="0.3">
      <c r="W752"/>
    </row>
    <row r="753" spans="23:23" ht="14.25" customHeight="1" x14ac:dyDescent="0.3">
      <c r="W753"/>
    </row>
    <row r="754" spans="23:23" ht="14.25" customHeight="1" x14ac:dyDescent="0.3">
      <c r="W754"/>
    </row>
    <row r="755" spans="23:23" ht="14.25" customHeight="1" x14ac:dyDescent="0.3">
      <c r="W755"/>
    </row>
    <row r="756" spans="23:23" ht="14.25" customHeight="1" x14ac:dyDescent="0.3">
      <c r="W756"/>
    </row>
    <row r="757" spans="23:23" ht="14.25" customHeight="1" x14ac:dyDescent="0.3">
      <c r="W757"/>
    </row>
    <row r="758" spans="23:23" ht="14.25" customHeight="1" x14ac:dyDescent="0.3">
      <c r="W758"/>
    </row>
    <row r="759" spans="23:23" ht="14.25" customHeight="1" x14ac:dyDescent="0.3">
      <c r="W759"/>
    </row>
    <row r="760" spans="23:23" ht="14.25" customHeight="1" x14ac:dyDescent="0.3">
      <c r="W760"/>
    </row>
    <row r="761" spans="23:23" ht="14.25" customHeight="1" x14ac:dyDescent="0.3">
      <c r="W761"/>
    </row>
    <row r="762" spans="23:23" ht="14.25" customHeight="1" x14ac:dyDescent="0.3">
      <c r="W762"/>
    </row>
    <row r="763" spans="23:23" ht="14.25" customHeight="1" x14ac:dyDescent="0.3">
      <c r="W763"/>
    </row>
    <row r="764" spans="23:23" ht="14.25" customHeight="1" x14ac:dyDescent="0.3">
      <c r="W764"/>
    </row>
    <row r="765" spans="23:23" ht="14.25" customHeight="1" x14ac:dyDescent="0.3">
      <c r="W765"/>
    </row>
    <row r="766" spans="23:23" ht="14.25" customHeight="1" x14ac:dyDescent="0.3">
      <c r="W766"/>
    </row>
    <row r="767" spans="23:23" ht="14.25" customHeight="1" x14ac:dyDescent="0.3">
      <c r="W767"/>
    </row>
    <row r="768" spans="23:23" ht="14.25" customHeight="1" x14ac:dyDescent="0.3">
      <c r="W768"/>
    </row>
    <row r="769" spans="23:23" ht="14.25" customHeight="1" x14ac:dyDescent="0.3">
      <c r="W769"/>
    </row>
    <row r="770" spans="23:23" ht="14.25" customHeight="1" x14ac:dyDescent="0.3">
      <c r="W770"/>
    </row>
    <row r="771" spans="23:23" ht="14.25" customHeight="1" x14ac:dyDescent="0.3">
      <c r="W771"/>
    </row>
    <row r="772" spans="23:23" ht="14.25" customHeight="1" x14ac:dyDescent="0.3">
      <c r="W772"/>
    </row>
    <row r="773" spans="23:23" ht="14.25" customHeight="1" x14ac:dyDescent="0.3">
      <c r="W773"/>
    </row>
    <row r="774" spans="23:23" ht="14.25" customHeight="1" x14ac:dyDescent="0.3">
      <c r="W774"/>
    </row>
    <row r="775" spans="23:23" ht="14.25" customHeight="1" x14ac:dyDescent="0.3">
      <c r="W775"/>
    </row>
    <row r="776" spans="23:23" ht="14.25" customHeight="1" x14ac:dyDescent="0.3">
      <c r="W776"/>
    </row>
    <row r="777" spans="23:23" ht="14.25" customHeight="1" x14ac:dyDescent="0.3">
      <c r="W777"/>
    </row>
    <row r="778" spans="23:23" ht="14.25" customHeight="1" x14ac:dyDescent="0.3">
      <c r="W778"/>
    </row>
    <row r="779" spans="23:23" ht="14.25" customHeight="1" x14ac:dyDescent="0.3">
      <c r="W779"/>
    </row>
    <row r="780" spans="23:23" ht="14.25" customHeight="1" x14ac:dyDescent="0.3">
      <c r="W780"/>
    </row>
    <row r="781" spans="23:23" ht="14.25" customHeight="1" x14ac:dyDescent="0.3">
      <c r="W781"/>
    </row>
    <row r="782" spans="23:23" ht="14.25" customHeight="1" x14ac:dyDescent="0.3">
      <c r="W782"/>
    </row>
    <row r="783" spans="23:23" ht="14.25" customHeight="1" x14ac:dyDescent="0.3">
      <c r="W783"/>
    </row>
    <row r="784" spans="23:23" ht="14.25" customHeight="1" x14ac:dyDescent="0.3">
      <c r="W784"/>
    </row>
    <row r="785" spans="23:23" ht="14.25" customHeight="1" x14ac:dyDescent="0.3">
      <c r="W785"/>
    </row>
    <row r="786" spans="23:23" ht="14.25" customHeight="1" x14ac:dyDescent="0.3">
      <c r="W786"/>
    </row>
    <row r="787" spans="23:23" ht="14.25" customHeight="1" x14ac:dyDescent="0.3">
      <c r="W787"/>
    </row>
    <row r="788" spans="23:23" ht="14.25" customHeight="1" x14ac:dyDescent="0.3">
      <c r="W788"/>
    </row>
    <row r="789" spans="23:23" ht="14.25" customHeight="1" x14ac:dyDescent="0.3">
      <c r="W789"/>
    </row>
    <row r="790" spans="23:23" ht="14.25" customHeight="1" x14ac:dyDescent="0.3">
      <c r="W790"/>
    </row>
    <row r="791" spans="23:23" ht="14.25" customHeight="1" x14ac:dyDescent="0.3">
      <c r="W791"/>
    </row>
    <row r="792" spans="23:23" ht="14.25" customHeight="1" x14ac:dyDescent="0.3">
      <c r="W792"/>
    </row>
    <row r="793" spans="23:23" ht="14.25" customHeight="1" x14ac:dyDescent="0.3">
      <c r="W793"/>
    </row>
    <row r="794" spans="23:23" ht="14.25" customHeight="1" x14ac:dyDescent="0.3">
      <c r="W794"/>
    </row>
    <row r="795" spans="23:23" ht="14.25" customHeight="1" x14ac:dyDescent="0.3">
      <c r="W795"/>
    </row>
    <row r="796" spans="23:23" ht="14.25" customHeight="1" x14ac:dyDescent="0.3">
      <c r="W796"/>
    </row>
    <row r="797" spans="23:23" ht="14.25" customHeight="1" x14ac:dyDescent="0.3">
      <c r="W797"/>
    </row>
    <row r="798" spans="23:23" ht="14.25" customHeight="1" x14ac:dyDescent="0.3">
      <c r="W798"/>
    </row>
    <row r="799" spans="23:23" ht="14.25" customHeight="1" x14ac:dyDescent="0.3">
      <c r="W799"/>
    </row>
    <row r="800" spans="23:23" ht="14.25" customHeight="1" x14ac:dyDescent="0.3">
      <c r="W800"/>
    </row>
    <row r="801" spans="23:23" ht="14.25" customHeight="1" x14ac:dyDescent="0.3">
      <c r="W801"/>
    </row>
    <row r="802" spans="23:23" ht="14.25" customHeight="1" x14ac:dyDescent="0.3">
      <c r="W802"/>
    </row>
    <row r="803" spans="23:23" ht="14.25" customHeight="1" x14ac:dyDescent="0.3">
      <c r="W803"/>
    </row>
    <row r="804" spans="23:23" ht="14.25" customHeight="1" x14ac:dyDescent="0.3">
      <c r="W804"/>
    </row>
    <row r="805" spans="23:23" ht="14.25" customHeight="1" x14ac:dyDescent="0.3">
      <c r="W805"/>
    </row>
    <row r="806" spans="23:23" ht="14.25" customHeight="1" x14ac:dyDescent="0.3">
      <c r="W806"/>
    </row>
    <row r="807" spans="23:23" ht="14.25" customHeight="1" x14ac:dyDescent="0.3">
      <c r="W807"/>
    </row>
    <row r="808" spans="23:23" ht="14.25" customHeight="1" x14ac:dyDescent="0.3">
      <c r="W808"/>
    </row>
    <row r="809" spans="23:23" ht="14.25" customHeight="1" x14ac:dyDescent="0.3">
      <c r="W809"/>
    </row>
    <row r="810" spans="23:23" ht="14.25" customHeight="1" x14ac:dyDescent="0.3">
      <c r="W810"/>
    </row>
    <row r="811" spans="23:23" ht="14.25" customHeight="1" x14ac:dyDescent="0.3">
      <c r="W811"/>
    </row>
    <row r="812" spans="23:23" ht="14.25" customHeight="1" x14ac:dyDescent="0.3">
      <c r="W812"/>
    </row>
    <row r="813" spans="23:23" ht="14.25" customHeight="1" x14ac:dyDescent="0.3">
      <c r="W813"/>
    </row>
    <row r="814" spans="23:23" ht="14.25" customHeight="1" x14ac:dyDescent="0.3">
      <c r="W814"/>
    </row>
    <row r="815" spans="23:23" ht="14.25" customHeight="1" x14ac:dyDescent="0.3">
      <c r="W815"/>
    </row>
    <row r="816" spans="23:23" ht="14.25" customHeight="1" x14ac:dyDescent="0.3">
      <c r="W816"/>
    </row>
    <row r="817" spans="23:23" ht="14.25" customHeight="1" x14ac:dyDescent="0.3">
      <c r="W817"/>
    </row>
    <row r="818" spans="23:23" ht="14.25" customHeight="1" x14ac:dyDescent="0.3">
      <c r="W818"/>
    </row>
    <row r="819" spans="23:23" ht="14.25" customHeight="1" x14ac:dyDescent="0.3">
      <c r="W819"/>
    </row>
    <row r="820" spans="23:23" ht="14.25" customHeight="1" x14ac:dyDescent="0.3">
      <c r="W820"/>
    </row>
    <row r="821" spans="23:23" ht="14.25" customHeight="1" x14ac:dyDescent="0.3">
      <c r="W821"/>
    </row>
    <row r="822" spans="23:23" ht="14.25" customHeight="1" x14ac:dyDescent="0.3">
      <c r="W822"/>
    </row>
    <row r="823" spans="23:23" ht="14.25" customHeight="1" x14ac:dyDescent="0.3">
      <c r="W823"/>
    </row>
    <row r="824" spans="23:23" ht="14.25" customHeight="1" x14ac:dyDescent="0.3">
      <c r="W824"/>
    </row>
    <row r="825" spans="23:23" ht="14.25" customHeight="1" x14ac:dyDescent="0.3">
      <c r="W825"/>
    </row>
    <row r="826" spans="23:23" ht="14.25" customHeight="1" x14ac:dyDescent="0.3">
      <c r="W826"/>
    </row>
    <row r="827" spans="23:23" ht="14.25" customHeight="1" x14ac:dyDescent="0.3">
      <c r="W827"/>
    </row>
    <row r="828" spans="23:23" ht="14.25" customHeight="1" x14ac:dyDescent="0.3">
      <c r="W828"/>
    </row>
    <row r="829" spans="23:23" ht="14.25" customHeight="1" x14ac:dyDescent="0.3">
      <c r="W829"/>
    </row>
    <row r="830" spans="23:23" ht="14.25" customHeight="1" x14ac:dyDescent="0.3">
      <c r="W830"/>
    </row>
    <row r="831" spans="23:23" ht="14.25" customHeight="1" x14ac:dyDescent="0.3">
      <c r="W831"/>
    </row>
    <row r="832" spans="23:23" ht="14.25" customHeight="1" x14ac:dyDescent="0.3">
      <c r="W832"/>
    </row>
    <row r="833" spans="23:23" ht="14.25" customHeight="1" x14ac:dyDescent="0.3">
      <c r="W833"/>
    </row>
    <row r="834" spans="23:23" ht="14.25" customHeight="1" x14ac:dyDescent="0.3">
      <c r="W834"/>
    </row>
    <row r="835" spans="23:23" ht="14.25" customHeight="1" x14ac:dyDescent="0.3">
      <c r="W835"/>
    </row>
    <row r="836" spans="23:23" ht="14.25" customHeight="1" x14ac:dyDescent="0.3">
      <c r="W836"/>
    </row>
    <row r="837" spans="23:23" ht="14.25" customHeight="1" x14ac:dyDescent="0.3">
      <c r="W837"/>
    </row>
    <row r="838" spans="23:23" ht="14.25" customHeight="1" x14ac:dyDescent="0.3">
      <c r="W838"/>
    </row>
    <row r="839" spans="23:23" ht="14.25" customHeight="1" x14ac:dyDescent="0.3">
      <c r="W839"/>
    </row>
    <row r="840" spans="23:23" ht="14.25" customHeight="1" x14ac:dyDescent="0.3">
      <c r="W840"/>
    </row>
    <row r="841" spans="23:23" ht="14.25" customHeight="1" x14ac:dyDescent="0.3">
      <c r="W841"/>
    </row>
    <row r="842" spans="23:23" ht="14.25" customHeight="1" x14ac:dyDescent="0.3">
      <c r="W842"/>
    </row>
    <row r="843" spans="23:23" ht="14.25" customHeight="1" x14ac:dyDescent="0.3">
      <c r="W843"/>
    </row>
    <row r="844" spans="23:23" ht="14.25" customHeight="1" x14ac:dyDescent="0.3">
      <c r="W844"/>
    </row>
    <row r="845" spans="23:23" ht="14.25" customHeight="1" x14ac:dyDescent="0.3">
      <c r="W845"/>
    </row>
    <row r="846" spans="23:23" ht="14.25" customHeight="1" x14ac:dyDescent="0.3">
      <c r="W846"/>
    </row>
    <row r="847" spans="23:23" ht="14.25" customHeight="1" x14ac:dyDescent="0.3">
      <c r="W847"/>
    </row>
    <row r="848" spans="23:23" ht="14.25" customHeight="1" x14ac:dyDescent="0.3">
      <c r="W848"/>
    </row>
    <row r="849" spans="23:23" ht="14.25" customHeight="1" x14ac:dyDescent="0.3">
      <c r="W849"/>
    </row>
    <row r="850" spans="23:23" ht="14.25" customHeight="1" x14ac:dyDescent="0.3">
      <c r="W850"/>
    </row>
    <row r="851" spans="23:23" ht="14.25" customHeight="1" x14ac:dyDescent="0.3">
      <c r="W851"/>
    </row>
    <row r="852" spans="23:23" ht="14.25" customHeight="1" x14ac:dyDescent="0.3">
      <c r="W852"/>
    </row>
    <row r="853" spans="23:23" ht="14.25" customHeight="1" x14ac:dyDescent="0.3">
      <c r="W853"/>
    </row>
    <row r="854" spans="23:23" ht="14.25" customHeight="1" x14ac:dyDescent="0.3">
      <c r="W854"/>
    </row>
    <row r="855" spans="23:23" ht="14.25" customHeight="1" x14ac:dyDescent="0.3">
      <c r="W855"/>
    </row>
    <row r="856" spans="23:23" ht="14.25" customHeight="1" x14ac:dyDescent="0.3">
      <c r="W856"/>
    </row>
    <row r="857" spans="23:23" ht="14.25" customHeight="1" x14ac:dyDescent="0.3">
      <c r="W857"/>
    </row>
    <row r="858" spans="23:23" ht="14.25" customHeight="1" x14ac:dyDescent="0.3">
      <c r="W858"/>
    </row>
    <row r="859" spans="23:23" ht="14.25" customHeight="1" x14ac:dyDescent="0.3">
      <c r="W859"/>
    </row>
    <row r="860" spans="23:23" ht="14.25" customHeight="1" x14ac:dyDescent="0.3">
      <c r="W860"/>
    </row>
    <row r="861" spans="23:23" ht="14.25" customHeight="1" x14ac:dyDescent="0.3">
      <c r="W861"/>
    </row>
    <row r="862" spans="23:23" ht="14.25" customHeight="1" x14ac:dyDescent="0.3">
      <c r="W862"/>
    </row>
    <row r="863" spans="23:23" ht="14.25" customHeight="1" x14ac:dyDescent="0.3">
      <c r="W863"/>
    </row>
    <row r="864" spans="23:23" ht="14.25" customHeight="1" x14ac:dyDescent="0.3">
      <c r="W864"/>
    </row>
    <row r="865" spans="23:23" ht="14.25" customHeight="1" x14ac:dyDescent="0.3">
      <c r="W865"/>
    </row>
    <row r="866" spans="23:23" ht="14.25" customHeight="1" x14ac:dyDescent="0.3">
      <c r="W866"/>
    </row>
    <row r="867" spans="23:23" ht="14.25" customHeight="1" x14ac:dyDescent="0.3">
      <c r="W867"/>
    </row>
    <row r="868" spans="23:23" ht="14.25" customHeight="1" x14ac:dyDescent="0.3">
      <c r="W868"/>
    </row>
    <row r="869" spans="23:23" ht="14.25" customHeight="1" x14ac:dyDescent="0.3">
      <c r="W869"/>
    </row>
    <row r="870" spans="23:23" ht="14.25" customHeight="1" x14ac:dyDescent="0.3">
      <c r="W870"/>
    </row>
    <row r="871" spans="23:23" ht="14.25" customHeight="1" x14ac:dyDescent="0.3">
      <c r="W871"/>
    </row>
    <row r="872" spans="23:23" ht="14.25" customHeight="1" x14ac:dyDescent="0.3">
      <c r="W872"/>
    </row>
    <row r="873" spans="23:23" ht="14.25" customHeight="1" x14ac:dyDescent="0.3">
      <c r="W873"/>
    </row>
    <row r="874" spans="23:23" ht="14.25" customHeight="1" x14ac:dyDescent="0.3">
      <c r="W874"/>
    </row>
    <row r="875" spans="23:23" ht="14.25" customHeight="1" x14ac:dyDescent="0.3">
      <c r="W875"/>
    </row>
    <row r="876" spans="23:23" ht="14.25" customHeight="1" x14ac:dyDescent="0.3">
      <c r="W876"/>
    </row>
    <row r="877" spans="23:23" ht="14.25" customHeight="1" x14ac:dyDescent="0.3">
      <c r="W877"/>
    </row>
    <row r="878" spans="23:23" ht="14.25" customHeight="1" x14ac:dyDescent="0.3">
      <c r="W878"/>
    </row>
    <row r="879" spans="23:23" ht="14.25" customHeight="1" x14ac:dyDescent="0.3">
      <c r="W879"/>
    </row>
    <row r="880" spans="23:23" ht="14.25" customHeight="1" x14ac:dyDescent="0.3">
      <c r="W880"/>
    </row>
    <row r="881" spans="23:23" ht="14.25" customHeight="1" x14ac:dyDescent="0.3">
      <c r="W881"/>
    </row>
    <row r="882" spans="23:23" ht="14.25" customHeight="1" x14ac:dyDescent="0.3">
      <c r="W882"/>
    </row>
    <row r="883" spans="23:23" ht="14.25" customHeight="1" x14ac:dyDescent="0.3">
      <c r="W883"/>
    </row>
    <row r="884" spans="23:23" ht="14.25" customHeight="1" x14ac:dyDescent="0.3">
      <c r="W884"/>
    </row>
    <row r="885" spans="23:23" ht="14.25" customHeight="1" x14ac:dyDescent="0.3">
      <c r="W885"/>
    </row>
    <row r="886" spans="23:23" ht="14.25" customHeight="1" x14ac:dyDescent="0.3">
      <c r="W886"/>
    </row>
    <row r="887" spans="23:23" ht="14.25" customHeight="1" x14ac:dyDescent="0.3">
      <c r="W887"/>
    </row>
    <row r="888" spans="23:23" ht="14.25" customHeight="1" x14ac:dyDescent="0.3">
      <c r="W888"/>
    </row>
    <row r="889" spans="23:23" ht="14.25" customHeight="1" x14ac:dyDescent="0.3">
      <c r="W889"/>
    </row>
    <row r="890" spans="23:23" ht="14.25" customHeight="1" x14ac:dyDescent="0.3">
      <c r="W890"/>
    </row>
    <row r="891" spans="23:23" ht="14.25" customHeight="1" x14ac:dyDescent="0.3">
      <c r="W891"/>
    </row>
    <row r="892" spans="23:23" ht="14.25" customHeight="1" x14ac:dyDescent="0.3">
      <c r="W892"/>
    </row>
    <row r="893" spans="23:23" ht="14.25" customHeight="1" x14ac:dyDescent="0.3">
      <c r="W893"/>
    </row>
    <row r="894" spans="23:23" ht="14.25" customHeight="1" x14ac:dyDescent="0.3">
      <c r="W894"/>
    </row>
    <row r="895" spans="23:23" ht="14.25" customHeight="1" x14ac:dyDescent="0.3">
      <c r="W895"/>
    </row>
    <row r="896" spans="23:23" ht="14.25" customHeight="1" x14ac:dyDescent="0.3">
      <c r="W896"/>
    </row>
    <row r="897" spans="23:23" ht="14.25" customHeight="1" x14ac:dyDescent="0.3">
      <c r="W897"/>
    </row>
    <row r="898" spans="23:23" ht="14.25" customHeight="1" x14ac:dyDescent="0.3">
      <c r="W898"/>
    </row>
    <row r="899" spans="23:23" ht="14.25" customHeight="1" x14ac:dyDescent="0.3">
      <c r="W899"/>
    </row>
    <row r="900" spans="23:23" ht="14.25" customHeight="1" x14ac:dyDescent="0.3">
      <c r="W900"/>
    </row>
    <row r="901" spans="23:23" ht="14.25" customHeight="1" x14ac:dyDescent="0.3">
      <c r="W901"/>
    </row>
    <row r="902" spans="23:23" ht="14.25" customHeight="1" x14ac:dyDescent="0.3">
      <c r="W902"/>
    </row>
    <row r="903" spans="23:23" ht="14.25" customHeight="1" x14ac:dyDescent="0.3">
      <c r="W903"/>
    </row>
    <row r="904" spans="23:23" ht="14.25" customHeight="1" x14ac:dyDescent="0.3">
      <c r="W904"/>
    </row>
    <row r="905" spans="23:23" ht="14.25" customHeight="1" x14ac:dyDescent="0.3">
      <c r="W905"/>
    </row>
    <row r="906" spans="23:23" ht="14.25" customHeight="1" x14ac:dyDescent="0.3">
      <c r="W906"/>
    </row>
    <row r="907" spans="23:23" ht="14.25" customHeight="1" x14ac:dyDescent="0.3">
      <c r="W907"/>
    </row>
    <row r="908" spans="23:23" ht="14.25" customHeight="1" x14ac:dyDescent="0.3">
      <c r="W908"/>
    </row>
    <row r="909" spans="23:23" ht="14.25" customHeight="1" x14ac:dyDescent="0.3">
      <c r="W909"/>
    </row>
    <row r="910" spans="23:23" ht="14.25" customHeight="1" x14ac:dyDescent="0.3">
      <c r="W910"/>
    </row>
    <row r="911" spans="23:23" ht="14.25" customHeight="1" x14ac:dyDescent="0.3">
      <c r="W911"/>
    </row>
    <row r="912" spans="23:23" ht="14.25" customHeight="1" x14ac:dyDescent="0.3">
      <c r="W912"/>
    </row>
    <row r="913" spans="23:23" ht="14.25" customHeight="1" x14ac:dyDescent="0.3">
      <c r="W913"/>
    </row>
    <row r="914" spans="23:23" ht="14.25" customHeight="1" x14ac:dyDescent="0.3">
      <c r="W914"/>
    </row>
    <row r="915" spans="23:23" ht="14.25" customHeight="1" x14ac:dyDescent="0.3">
      <c r="W915"/>
    </row>
    <row r="916" spans="23:23" ht="14.25" customHeight="1" x14ac:dyDescent="0.3">
      <c r="W916"/>
    </row>
    <row r="917" spans="23:23" ht="14.25" customHeight="1" x14ac:dyDescent="0.3">
      <c r="W917"/>
    </row>
    <row r="918" spans="23:23" ht="14.25" customHeight="1" x14ac:dyDescent="0.3">
      <c r="W918"/>
    </row>
    <row r="919" spans="23:23" ht="14.25" customHeight="1" x14ac:dyDescent="0.3">
      <c r="W919"/>
    </row>
    <row r="920" spans="23:23" ht="14.25" customHeight="1" x14ac:dyDescent="0.3">
      <c r="W920"/>
    </row>
    <row r="921" spans="23:23" ht="14.25" customHeight="1" x14ac:dyDescent="0.3">
      <c r="W921"/>
    </row>
    <row r="922" spans="23:23" ht="14.25" customHeight="1" x14ac:dyDescent="0.3">
      <c r="W922"/>
    </row>
    <row r="923" spans="23:23" ht="14.25" customHeight="1" x14ac:dyDescent="0.3">
      <c r="W923"/>
    </row>
    <row r="924" spans="23:23" ht="14.25" customHeight="1" x14ac:dyDescent="0.3">
      <c r="W924"/>
    </row>
    <row r="925" spans="23:23" ht="14.25" customHeight="1" x14ac:dyDescent="0.3">
      <c r="W925"/>
    </row>
    <row r="926" spans="23:23" ht="14.25" customHeight="1" x14ac:dyDescent="0.3">
      <c r="W926"/>
    </row>
    <row r="927" spans="23:23" ht="14.25" customHeight="1" x14ac:dyDescent="0.3">
      <c r="W927"/>
    </row>
    <row r="928" spans="23:23" ht="14.25" customHeight="1" x14ac:dyDescent="0.3">
      <c r="W928"/>
    </row>
    <row r="929" spans="23:23" ht="14.25" customHeight="1" x14ac:dyDescent="0.3">
      <c r="W929"/>
    </row>
    <row r="930" spans="23:23" ht="14.25" customHeight="1" x14ac:dyDescent="0.3">
      <c r="W930"/>
    </row>
    <row r="931" spans="23:23" ht="14.25" customHeight="1" x14ac:dyDescent="0.3">
      <c r="W931"/>
    </row>
    <row r="932" spans="23:23" ht="14.25" customHeight="1" x14ac:dyDescent="0.3">
      <c r="W932"/>
    </row>
    <row r="933" spans="23:23" ht="14.25" customHeight="1" x14ac:dyDescent="0.3">
      <c r="W933"/>
    </row>
    <row r="934" spans="23:23" ht="14.25" customHeight="1" x14ac:dyDescent="0.3">
      <c r="W934"/>
    </row>
    <row r="935" spans="23:23" ht="14.25" customHeight="1" x14ac:dyDescent="0.3">
      <c r="W935"/>
    </row>
    <row r="936" spans="23:23" ht="14.25" customHeight="1" x14ac:dyDescent="0.3">
      <c r="W936"/>
    </row>
    <row r="937" spans="23:23" ht="14.25" customHeight="1" x14ac:dyDescent="0.3">
      <c r="W937"/>
    </row>
    <row r="938" spans="23:23" ht="14.25" customHeight="1" x14ac:dyDescent="0.3">
      <c r="W938"/>
    </row>
    <row r="939" spans="23:23" ht="14.25" customHeight="1" x14ac:dyDescent="0.3">
      <c r="W939"/>
    </row>
    <row r="940" spans="23:23" ht="14.25" customHeight="1" x14ac:dyDescent="0.3">
      <c r="W940"/>
    </row>
    <row r="941" spans="23:23" ht="14.25" customHeight="1" x14ac:dyDescent="0.3">
      <c r="W941"/>
    </row>
    <row r="942" spans="23:23" ht="14.25" customHeight="1" x14ac:dyDescent="0.3">
      <c r="W942"/>
    </row>
    <row r="943" spans="23:23" ht="14.25" customHeight="1" x14ac:dyDescent="0.3">
      <c r="W943"/>
    </row>
    <row r="944" spans="23:23" ht="14.25" customHeight="1" x14ac:dyDescent="0.3">
      <c r="W944"/>
    </row>
    <row r="945" spans="23:23" ht="14.25" customHeight="1" x14ac:dyDescent="0.3">
      <c r="W945"/>
    </row>
    <row r="946" spans="23:23" ht="14.25" customHeight="1" x14ac:dyDescent="0.3">
      <c r="W946"/>
    </row>
    <row r="947" spans="23:23" ht="14.25" customHeight="1" x14ac:dyDescent="0.3">
      <c r="W947"/>
    </row>
    <row r="948" spans="23:23" ht="14.25" customHeight="1" x14ac:dyDescent="0.3">
      <c r="W948"/>
    </row>
    <row r="949" spans="23:23" ht="14.25" customHeight="1" x14ac:dyDescent="0.3">
      <c r="W949"/>
    </row>
    <row r="950" spans="23:23" ht="14.25" customHeight="1" x14ac:dyDescent="0.3">
      <c r="W950"/>
    </row>
    <row r="951" spans="23:23" ht="14.25" customHeight="1" x14ac:dyDescent="0.3">
      <c r="W951"/>
    </row>
    <row r="952" spans="23:23" ht="14.25" customHeight="1" x14ac:dyDescent="0.3">
      <c r="W952"/>
    </row>
    <row r="953" spans="23:23" ht="14.25" customHeight="1" x14ac:dyDescent="0.3">
      <c r="W953"/>
    </row>
    <row r="954" spans="23:23" ht="14.25" customHeight="1" x14ac:dyDescent="0.3">
      <c r="W954"/>
    </row>
    <row r="955" spans="23:23" ht="14.25" customHeight="1" x14ac:dyDescent="0.3">
      <c r="W955"/>
    </row>
    <row r="956" spans="23:23" ht="14.25" customHeight="1" x14ac:dyDescent="0.3">
      <c r="W956"/>
    </row>
    <row r="957" spans="23:23" ht="14.25" customHeight="1" x14ac:dyDescent="0.3">
      <c r="W957"/>
    </row>
    <row r="958" spans="23:23" ht="14.25" customHeight="1" x14ac:dyDescent="0.3">
      <c r="W958"/>
    </row>
    <row r="959" spans="23:23" ht="14.25" customHeight="1" x14ac:dyDescent="0.3">
      <c r="W959"/>
    </row>
    <row r="960" spans="23:23" ht="14.25" customHeight="1" x14ac:dyDescent="0.3">
      <c r="W960"/>
    </row>
    <row r="961" spans="23:23" ht="14.25" customHeight="1" x14ac:dyDescent="0.3">
      <c r="W961"/>
    </row>
    <row r="962" spans="23:23" ht="14.25" customHeight="1" x14ac:dyDescent="0.3">
      <c r="W962"/>
    </row>
    <row r="963" spans="23:23" ht="14.25" customHeight="1" x14ac:dyDescent="0.3">
      <c r="W963"/>
    </row>
    <row r="964" spans="23:23" ht="14.25" customHeight="1" x14ac:dyDescent="0.3">
      <c r="W964"/>
    </row>
    <row r="965" spans="23:23" ht="14.25" customHeight="1" x14ac:dyDescent="0.3">
      <c r="W965"/>
    </row>
    <row r="966" spans="23:23" ht="14.25" customHeight="1" x14ac:dyDescent="0.3">
      <c r="W966"/>
    </row>
    <row r="967" spans="23:23" ht="14.25" customHeight="1" x14ac:dyDescent="0.3">
      <c r="W967"/>
    </row>
    <row r="968" spans="23:23" ht="14.25" customHeight="1" x14ac:dyDescent="0.3">
      <c r="W968"/>
    </row>
    <row r="969" spans="23:23" ht="14.25" customHeight="1" x14ac:dyDescent="0.3">
      <c r="W969"/>
    </row>
    <row r="970" spans="23:23" ht="14.25" customHeight="1" x14ac:dyDescent="0.3">
      <c r="W970"/>
    </row>
    <row r="971" spans="23:23" ht="14.25" customHeight="1" x14ac:dyDescent="0.3">
      <c r="W971"/>
    </row>
    <row r="972" spans="23:23" ht="14.25" customHeight="1" x14ac:dyDescent="0.3">
      <c r="W972"/>
    </row>
    <row r="973" spans="23:23" ht="14.25" customHeight="1" x14ac:dyDescent="0.3">
      <c r="W973"/>
    </row>
    <row r="974" spans="23:23" ht="14.25" customHeight="1" x14ac:dyDescent="0.3">
      <c r="W974"/>
    </row>
    <row r="975" spans="23:23" ht="14.25" customHeight="1" x14ac:dyDescent="0.3">
      <c r="W975"/>
    </row>
    <row r="976" spans="23:23" ht="14.25" customHeight="1" x14ac:dyDescent="0.3">
      <c r="W976"/>
    </row>
    <row r="977" spans="23:23" ht="14.25" customHeight="1" x14ac:dyDescent="0.3">
      <c r="W977"/>
    </row>
    <row r="978" spans="23:23" ht="14.25" customHeight="1" x14ac:dyDescent="0.3">
      <c r="W978"/>
    </row>
    <row r="979" spans="23:23" ht="14.25" customHeight="1" x14ac:dyDescent="0.3">
      <c r="W979"/>
    </row>
    <row r="980" spans="23:23" ht="14.25" customHeight="1" x14ac:dyDescent="0.3">
      <c r="W980"/>
    </row>
    <row r="981" spans="23:23" ht="14.25" customHeight="1" x14ac:dyDescent="0.3">
      <c r="W981"/>
    </row>
    <row r="982" spans="23:23" ht="14.25" customHeight="1" x14ac:dyDescent="0.3">
      <c r="W982"/>
    </row>
    <row r="983" spans="23:23" ht="14.25" customHeight="1" x14ac:dyDescent="0.3">
      <c r="W983"/>
    </row>
    <row r="984" spans="23:23" ht="14.25" customHeight="1" x14ac:dyDescent="0.3">
      <c r="W984"/>
    </row>
    <row r="985" spans="23:23" ht="14.25" customHeight="1" x14ac:dyDescent="0.3">
      <c r="W985"/>
    </row>
    <row r="986" spans="23:23" ht="14.25" customHeight="1" x14ac:dyDescent="0.3">
      <c r="W986"/>
    </row>
    <row r="987" spans="23:23" ht="14.25" customHeight="1" x14ac:dyDescent="0.3">
      <c r="W987"/>
    </row>
    <row r="988" spans="23:23" ht="14.25" customHeight="1" x14ac:dyDescent="0.3">
      <c r="W988"/>
    </row>
    <row r="989" spans="23:23" ht="14.25" customHeight="1" x14ac:dyDescent="0.3">
      <c r="W989"/>
    </row>
    <row r="990" spans="23:23" ht="14.25" customHeight="1" x14ac:dyDescent="0.3">
      <c r="W990"/>
    </row>
    <row r="991" spans="23:23" ht="14.25" customHeight="1" x14ac:dyDescent="0.3">
      <c r="W991"/>
    </row>
    <row r="992" spans="23:23" ht="14.25" customHeight="1" x14ac:dyDescent="0.3">
      <c r="W992"/>
    </row>
    <row r="993" spans="23:23" ht="14.25" customHeight="1" x14ac:dyDescent="0.3">
      <c r="W993"/>
    </row>
    <row r="994" spans="23:23" ht="14.25" customHeight="1" x14ac:dyDescent="0.3">
      <c r="W994"/>
    </row>
    <row r="995" spans="23:23" ht="14.25" customHeight="1" x14ac:dyDescent="0.3">
      <c r="W995"/>
    </row>
    <row r="996" spans="23:23" ht="14.25" customHeight="1" x14ac:dyDescent="0.3">
      <c r="W996"/>
    </row>
    <row r="997" spans="23:23" ht="14.25" customHeight="1" x14ac:dyDescent="0.3">
      <c r="W997"/>
    </row>
    <row r="998" spans="23:23" ht="14.25" customHeight="1" x14ac:dyDescent="0.3">
      <c r="W998"/>
    </row>
    <row r="999" spans="23:23" ht="14.25" customHeight="1" x14ac:dyDescent="0.3">
      <c r="W999"/>
    </row>
    <row r="1000" spans="23:23" ht="14.25" customHeight="1" x14ac:dyDescent="0.3">
      <c r="W1000"/>
    </row>
  </sheetData>
  <conditionalFormatting sqref="T2:V338">
    <cfRule type="expression" dxfId="0" priority="1">
      <formula>$V2&lt;=10</formula>
    </cfRule>
  </conditionalFormatting>
  <pageMargins left="0.7" right="0.7" top="0.75" bottom="0.75" header="0" footer="0"/>
  <pageSetup orientation="landscape"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A2" workbookViewId="0">
      <selection activeCell="G10" sqref="G10"/>
    </sheetView>
  </sheetViews>
  <sheetFormatPr defaultColWidth="14.44140625" defaultRowHeight="15" customHeight="1" x14ac:dyDescent="0.3"/>
  <cols>
    <col min="1" max="1" width="17.5546875" style="12" customWidth="1"/>
    <col min="2" max="2" width="15.33203125" style="17" customWidth="1"/>
    <col min="3" max="3" width="15.5546875" style="15" customWidth="1"/>
    <col min="4" max="4" width="11.33203125" style="15" customWidth="1"/>
    <col min="5" max="5" width="16" customWidth="1"/>
    <col min="6" max="6" width="18.21875" customWidth="1"/>
    <col min="7" max="7" width="11.5546875" style="15" customWidth="1"/>
    <col min="8" max="26" width="8.6640625" customWidth="1"/>
  </cols>
  <sheetData>
    <row r="1" spans="1:7" ht="14.25" customHeight="1" x14ac:dyDescent="0.3">
      <c r="A1" s="77" t="s">
        <v>565</v>
      </c>
      <c r="B1" s="88" t="s">
        <v>1</v>
      </c>
      <c r="C1" s="89" t="s">
        <v>566</v>
      </c>
      <c r="D1" s="90" t="s">
        <v>567</v>
      </c>
      <c r="E1" s="79" t="s">
        <v>568</v>
      </c>
      <c r="F1" s="79" t="s">
        <v>569</v>
      </c>
      <c r="G1" s="89" t="s">
        <v>570</v>
      </c>
    </row>
    <row r="2" spans="1:7" ht="14.25" customHeight="1" x14ac:dyDescent="0.3">
      <c r="A2" s="63">
        <v>45446</v>
      </c>
      <c r="B2" s="64" t="s">
        <v>33</v>
      </c>
      <c r="C2" s="62">
        <v>1135</v>
      </c>
      <c r="D2" s="62">
        <v>88</v>
      </c>
      <c r="E2" s="5">
        <v>344084</v>
      </c>
      <c r="F2" s="5">
        <v>8.06</v>
      </c>
      <c r="G2" s="62">
        <v>5904</v>
      </c>
    </row>
    <row r="3" spans="1:7" ht="14.25" customHeight="1" x14ac:dyDescent="0.3">
      <c r="A3" s="63">
        <v>45446</v>
      </c>
      <c r="B3" s="64" t="s">
        <v>43</v>
      </c>
      <c r="C3" s="62">
        <v>1312</v>
      </c>
      <c r="D3" s="62">
        <v>310</v>
      </c>
      <c r="E3" s="5">
        <v>42654</v>
      </c>
      <c r="F3" s="5">
        <v>4.9800000000000004</v>
      </c>
      <c r="G3" s="62">
        <v>9566</v>
      </c>
    </row>
    <row r="4" spans="1:7" ht="14.25" customHeight="1" x14ac:dyDescent="0.3">
      <c r="A4" s="63">
        <v>45446</v>
      </c>
      <c r="B4" s="64" t="s">
        <v>14</v>
      </c>
      <c r="C4" s="62">
        <v>584</v>
      </c>
      <c r="D4" s="62">
        <v>169</v>
      </c>
      <c r="E4" s="5">
        <v>146834</v>
      </c>
      <c r="F4" s="5">
        <v>8.31</v>
      </c>
      <c r="G4" s="62">
        <v>26752</v>
      </c>
    </row>
    <row r="5" spans="1:7" ht="14.25" customHeight="1" x14ac:dyDescent="0.3">
      <c r="A5" s="63">
        <v>45446</v>
      </c>
      <c r="B5" s="64" t="s">
        <v>27</v>
      </c>
      <c r="C5" s="62">
        <v>1535</v>
      </c>
      <c r="D5" s="62">
        <v>445</v>
      </c>
      <c r="E5" s="5">
        <v>395536</v>
      </c>
      <c r="F5" s="5">
        <v>4.1100000000000003</v>
      </c>
      <c r="G5" s="62">
        <v>30671</v>
      </c>
    </row>
    <row r="6" spans="1:7" ht="14.25" customHeight="1" x14ac:dyDescent="0.3">
      <c r="A6" s="63">
        <v>45453</v>
      </c>
      <c r="B6" s="64" t="s">
        <v>33</v>
      </c>
      <c r="C6" s="62">
        <v>656</v>
      </c>
      <c r="D6" s="62">
        <v>139</v>
      </c>
      <c r="E6" s="5">
        <v>49157</v>
      </c>
      <c r="F6" s="5">
        <v>9.0500000000000007</v>
      </c>
      <c r="G6" s="62">
        <v>9920</v>
      </c>
    </row>
    <row r="7" spans="1:7" ht="14.25" customHeight="1" x14ac:dyDescent="0.3">
      <c r="A7" s="63">
        <v>45453</v>
      </c>
      <c r="B7" s="64" t="s">
        <v>43</v>
      </c>
      <c r="C7" s="62">
        <v>1697</v>
      </c>
      <c r="D7" s="62">
        <v>414</v>
      </c>
      <c r="E7" s="5">
        <v>316555</v>
      </c>
      <c r="F7" s="5">
        <v>2.37</v>
      </c>
      <c r="G7" s="62">
        <v>7924</v>
      </c>
    </row>
    <row r="8" spans="1:7" ht="14.25" customHeight="1" x14ac:dyDescent="0.3">
      <c r="A8" s="63">
        <v>45453</v>
      </c>
      <c r="B8" s="64" t="s">
        <v>14</v>
      </c>
      <c r="C8" s="62">
        <v>436</v>
      </c>
      <c r="D8" s="62">
        <v>250</v>
      </c>
      <c r="E8" s="5">
        <v>254347</v>
      </c>
      <c r="F8" s="5">
        <v>4.01</v>
      </c>
      <c r="G8" s="62">
        <v>8912</v>
      </c>
    </row>
    <row r="9" spans="1:7" ht="14.25" customHeight="1" x14ac:dyDescent="0.3">
      <c r="A9" s="63">
        <v>45453</v>
      </c>
      <c r="B9" s="64" t="s">
        <v>27</v>
      </c>
      <c r="C9" s="62">
        <v>1197</v>
      </c>
      <c r="D9" s="62">
        <v>203</v>
      </c>
      <c r="E9" s="5">
        <v>413878</v>
      </c>
      <c r="F9" s="5">
        <v>3.16</v>
      </c>
      <c r="G9" s="62">
        <v>21205</v>
      </c>
    </row>
    <row r="10" spans="1:7" ht="14.25" customHeight="1" x14ac:dyDescent="0.3">
      <c r="A10" s="63">
        <v>45460</v>
      </c>
      <c r="B10" s="64" t="s">
        <v>33</v>
      </c>
      <c r="C10" s="62">
        <v>1048</v>
      </c>
      <c r="D10" s="62">
        <v>155</v>
      </c>
      <c r="E10" s="5">
        <v>456946</v>
      </c>
      <c r="F10" s="5">
        <v>2.46</v>
      </c>
      <c r="G10" s="62">
        <v>11329</v>
      </c>
    </row>
    <row r="11" spans="1:7" ht="14.25" customHeight="1" x14ac:dyDescent="0.3">
      <c r="A11" s="63">
        <v>45460</v>
      </c>
      <c r="B11" s="64" t="s">
        <v>43</v>
      </c>
      <c r="C11" s="62">
        <v>1753</v>
      </c>
      <c r="D11" s="62">
        <v>371</v>
      </c>
      <c r="E11" s="5">
        <v>169496</v>
      </c>
      <c r="F11" s="5">
        <v>8.11</v>
      </c>
      <c r="G11" s="62">
        <v>46670</v>
      </c>
    </row>
    <row r="12" spans="1:7" ht="14.25" customHeight="1" x14ac:dyDescent="0.3">
      <c r="A12" s="63">
        <v>45460</v>
      </c>
      <c r="B12" s="64" t="s">
        <v>14</v>
      </c>
      <c r="C12" s="62">
        <v>1335</v>
      </c>
      <c r="D12" s="62">
        <v>40</v>
      </c>
      <c r="E12" s="5">
        <v>122732</v>
      </c>
      <c r="F12" s="5">
        <v>8.19</v>
      </c>
      <c r="G12" s="62">
        <v>22482</v>
      </c>
    </row>
    <row r="13" spans="1:7" ht="14.25" customHeight="1" x14ac:dyDescent="0.3">
      <c r="A13" s="63">
        <v>45460</v>
      </c>
      <c r="B13" s="64" t="s">
        <v>27</v>
      </c>
      <c r="C13" s="62">
        <v>403</v>
      </c>
      <c r="D13" s="62">
        <v>66</v>
      </c>
      <c r="E13" s="5">
        <v>382851</v>
      </c>
      <c r="F13" s="5">
        <v>3.49</v>
      </c>
      <c r="G13" s="62">
        <v>24313</v>
      </c>
    </row>
    <row r="14" spans="1:7" ht="14.25" customHeight="1" x14ac:dyDescent="0.3">
      <c r="A14" s="63">
        <v>45467</v>
      </c>
      <c r="B14" s="64" t="s">
        <v>33</v>
      </c>
      <c r="C14" s="62">
        <v>911</v>
      </c>
      <c r="D14" s="62">
        <v>282</v>
      </c>
      <c r="E14" s="5">
        <v>35664</v>
      </c>
      <c r="F14" s="5">
        <v>6.92</v>
      </c>
      <c r="G14" s="62">
        <v>18050</v>
      </c>
    </row>
    <row r="15" spans="1:7" ht="14.25" customHeight="1" x14ac:dyDescent="0.3">
      <c r="A15" s="63">
        <v>45467</v>
      </c>
      <c r="B15" s="64" t="s">
        <v>43</v>
      </c>
      <c r="C15" s="62">
        <v>1779</v>
      </c>
      <c r="D15" s="62">
        <v>109</v>
      </c>
      <c r="E15" s="5">
        <v>26295</v>
      </c>
      <c r="F15" s="5">
        <v>9.1199999999999992</v>
      </c>
      <c r="G15" s="62">
        <v>30635</v>
      </c>
    </row>
    <row r="16" spans="1:7" ht="14.25" customHeight="1" x14ac:dyDescent="0.3">
      <c r="A16" s="63">
        <v>45467</v>
      </c>
      <c r="B16" s="64" t="s">
        <v>14</v>
      </c>
      <c r="C16" s="62">
        <v>1238</v>
      </c>
      <c r="D16" s="62">
        <v>403</v>
      </c>
      <c r="E16" s="5">
        <v>298421</v>
      </c>
      <c r="F16" s="5">
        <v>3.5</v>
      </c>
      <c r="G16" s="62">
        <v>31280</v>
      </c>
    </row>
    <row r="17" spans="1:7" ht="14.25" customHeight="1" x14ac:dyDescent="0.3">
      <c r="A17" s="63">
        <v>45467</v>
      </c>
      <c r="B17" s="64" t="s">
        <v>27</v>
      </c>
      <c r="C17" s="62">
        <v>308</v>
      </c>
      <c r="D17" s="62">
        <v>431</v>
      </c>
      <c r="E17" s="5">
        <v>426184</v>
      </c>
      <c r="F17" s="5">
        <v>2.62</v>
      </c>
      <c r="G17" s="62">
        <v>1783</v>
      </c>
    </row>
    <row r="18" spans="1:7" ht="14.25" customHeight="1" x14ac:dyDescent="0.3">
      <c r="A18" s="63">
        <v>45474</v>
      </c>
      <c r="B18" s="64" t="s">
        <v>33</v>
      </c>
      <c r="C18" s="62">
        <v>226</v>
      </c>
      <c r="D18" s="62">
        <v>445</v>
      </c>
      <c r="E18" s="5">
        <v>419447</v>
      </c>
      <c r="F18" s="5">
        <v>9.36</v>
      </c>
      <c r="G18" s="62">
        <v>9566</v>
      </c>
    </row>
    <row r="19" spans="1:7" ht="14.25" customHeight="1" x14ac:dyDescent="0.3">
      <c r="A19" s="63">
        <v>45474</v>
      </c>
      <c r="B19" s="64" t="s">
        <v>43</v>
      </c>
      <c r="C19" s="62">
        <v>505</v>
      </c>
      <c r="D19" s="62">
        <v>441</v>
      </c>
      <c r="E19" s="5">
        <v>220020</v>
      </c>
      <c r="F19" s="5">
        <v>4.4800000000000004</v>
      </c>
      <c r="G19" s="62">
        <v>42307</v>
      </c>
    </row>
    <row r="20" spans="1:7" ht="14.25" customHeight="1" x14ac:dyDescent="0.3">
      <c r="A20" s="63">
        <v>45474</v>
      </c>
      <c r="B20" s="64" t="s">
        <v>14</v>
      </c>
      <c r="C20" s="62">
        <v>1420</v>
      </c>
      <c r="D20" s="62">
        <v>63</v>
      </c>
      <c r="E20" s="5">
        <v>315305</v>
      </c>
      <c r="F20" s="5">
        <v>6.19</v>
      </c>
      <c r="G20" s="62">
        <v>5914</v>
      </c>
    </row>
    <row r="21" spans="1:7" ht="14.25" customHeight="1" x14ac:dyDescent="0.3">
      <c r="A21" s="63">
        <v>45474</v>
      </c>
      <c r="B21" s="64" t="s">
        <v>27</v>
      </c>
      <c r="C21" s="62">
        <v>144</v>
      </c>
      <c r="D21" s="62">
        <v>53</v>
      </c>
      <c r="E21" s="5">
        <v>113678</v>
      </c>
      <c r="F21" s="5">
        <v>8.7200000000000006</v>
      </c>
      <c r="G21" s="62">
        <v>30060</v>
      </c>
    </row>
    <row r="22" spans="1:7" ht="14.25" customHeight="1" x14ac:dyDescent="0.3">
      <c r="A22" s="63">
        <v>45481</v>
      </c>
      <c r="B22" s="64" t="s">
        <v>33</v>
      </c>
      <c r="C22" s="62">
        <v>1757</v>
      </c>
      <c r="D22" s="62">
        <v>85</v>
      </c>
      <c r="E22" s="5">
        <v>58223</v>
      </c>
      <c r="F22" s="5">
        <v>8.74</v>
      </c>
      <c r="G22" s="62">
        <v>22728</v>
      </c>
    </row>
    <row r="23" spans="1:7" ht="14.25" customHeight="1" x14ac:dyDescent="0.3">
      <c r="A23" s="63">
        <v>45481</v>
      </c>
      <c r="B23" s="64" t="s">
        <v>43</v>
      </c>
      <c r="C23" s="62">
        <v>350</v>
      </c>
      <c r="D23" s="62">
        <v>41</v>
      </c>
      <c r="E23" s="5">
        <v>251694</v>
      </c>
      <c r="F23" s="5">
        <v>1.91</v>
      </c>
      <c r="G23" s="62">
        <v>38610</v>
      </c>
    </row>
    <row r="24" spans="1:7" ht="14.25" customHeight="1" x14ac:dyDescent="0.3">
      <c r="A24" s="63">
        <v>45481</v>
      </c>
      <c r="B24" s="64" t="s">
        <v>14</v>
      </c>
      <c r="C24" s="62">
        <v>987</v>
      </c>
      <c r="D24" s="62">
        <v>440</v>
      </c>
      <c r="E24" s="5">
        <v>389810</v>
      </c>
      <c r="F24" s="5">
        <v>4.66</v>
      </c>
      <c r="G24" s="62">
        <v>2932</v>
      </c>
    </row>
    <row r="25" spans="1:7" ht="14.25" customHeight="1" x14ac:dyDescent="0.3">
      <c r="A25" s="63">
        <v>45481</v>
      </c>
      <c r="B25" s="64" t="s">
        <v>27</v>
      </c>
      <c r="C25" s="62">
        <v>883</v>
      </c>
      <c r="D25" s="62">
        <v>369</v>
      </c>
      <c r="E25" s="5">
        <v>233694</v>
      </c>
      <c r="F25" s="5">
        <v>2.88</v>
      </c>
      <c r="G25" s="62">
        <v>15071</v>
      </c>
    </row>
    <row r="26" spans="1:7" ht="14.25" customHeight="1" x14ac:dyDescent="0.3">
      <c r="A26" s="63">
        <v>45488</v>
      </c>
      <c r="B26" s="64" t="s">
        <v>33</v>
      </c>
      <c r="C26" s="62">
        <v>1960</v>
      </c>
      <c r="D26" s="62">
        <v>115</v>
      </c>
      <c r="E26" s="5">
        <v>154169</v>
      </c>
      <c r="F26" s="5">
        <v>3.74</v>
      </c>
      <c r="G26" s="62">
        <v>10740</v>
      </c>
    </row>
    <row r="27" spans="1:7" ht="14.25" customHeight="1" x14ac:dyDescent="0.3">
      <c r="A27" s="63">
        <v>45488</v>
      </c>
      <c r="B27" s="64" t="s">
        <v>43</v>
      </c>
      <c r="C27" s="62">
        <v>170</v>
      </c>
      <c r="D27" s="62">
        <v>334</v>
      </c>
      <c r="E27" s="5">
        <v>334626</v>
      </c>
      <c r="F27" s="5">
        <v>6.44</v>
      </c>
      <c r="G27" s="62">
        <v>43420</v>
      </c>
    </row>
    <row r="28" spans="1:7" ht="14.25" customHeight="1" x14ac:dyDescent="0.3">
      <c r="A28" s="63">
        <v>45488</v>
      </c>
      <c r="B28" s="64" t="s">
        <v>14</v>
      </c>
      <c r="C28" s="62">
        <v>704</v>
      </c>
      <c r="D28" s="62">
        <v>275</v>
      </c>
      <c r="E28" s="5">
        <v>226002</v>
      </c>
      <c r="F28" s="5">
        <v>8.56</v>
      </c>
      <c r="G28" s="62">
        <v>32393</v>
      </c>
    </row>
    <row r="29" spans="1:7" ht="14.25" customHeight="1" x14ac:dyDescent="0.3">
      <c r="A29" s="63">
        <v>45488</v>
      </c>
      <c r="B29" s="64" t="s">
        <v>27</v>
      </c>
      <c r="C29" s="62">
        <v>224</v>
      </c>
      <c r="D29" s="62">
        <v>64</v>
      </c>
      <c r="E29" s="5">
        <v>156683</v>
      </c>
      <c r="F29" s="5">
        <v>4.5599999999999996</v>
      </c>
      <c r="G29" s="62">
        <v>28474</v>
      </c>
    </row>
    <row r="30" spans="1:7" ht="14.25" customHeight="1" x14ac:dyDescent="0.3">
      <c r="A30" s="63">
        <v>45495</v>
      </c>
      <c r="B30" s="64" t="s">
        <v>33</v>
      </c>
      <c r="C30" s="62">
        <v>508</v>
      </c>
      <c r="D30" s="62">
        <v>349</v>
      </c>
      <c r="E30" s="5">
        <v>473812</v>
      </c>
      <c r="F30" s="5">
        <v>7.88</v>
      </c>
      <c r="G30" s="62">
        <v>17328</v>
      </c>
    </row>
    <row r="31" spans="1:7" ht="14.25" customHeight="1" x14ac:dyDescent="0.3">
      <c r="A31" s="63">
        <v>45495</v>
      </c>
      <c r="B31" s="64" t="s">
        <v>43</v>
      </c>
      <c r="C31" s="62">
        <v>1391</v>
      </c>
      <c r="D31" s="62">
        <v>430</v>
      </c>
      <c r="E31" s="5">
        <v>295032</v>
      </c>
      <c r="F31" s="5">
        <v>7.86</v>
      </c>
      <c r="G31" s="62">
        <v>26067</v>
      </c>
    </row>
    <row r="32" spans="1:7" ht="14.25" customHeight="1" x14ac:dyDescent="0.3">
      <c r="A32" s="63">
        <v>45495</v>
      </c>
      <c r="B32" s="64" t="s">
        <v>14</v>
      </c>
      <c r="C32" s="62">
        <v>1701</v>
      </c>
      <c r="D32" s="62">
        <v>385</v>
      </c>
      <c r="E32" s="5">
        <v>198278</v>
      </c>
      <c r="F32" s="5">
        <v>5.34</v>
      </c>
      <c r="G32" s="62">
        <v>32763</v>
      </c>
    </row>
    <row r="33" spans="1:7" ht="14.25" customHeight="1" x14ac:dyDescent="0.3">
      <c r="A33" s="63">
        <v>45495</v>
      </c>
      <c r="B33" s="64" t="s">
        <v>27</v>
      </c>
      <c r="C33" s="62">
        <v>804</v>
      </c>
      <c r="D33" s="62">
        <v>487</v>
      </c>
      <c r="E33" s="5">
        <v>306564</v>
      </c>
      <c r="F33" s="5">
        <v>5.52</v>
      </c>
      <c r="G33" s="62">
        <v>26452</v>
      </c>
    </row>
    <row r="34" spans="1:7" ht="14.25" customHeight="1" x14ac:dyDescent="0.3">
      <c r="A34" s="63">
        <v>45502</v>
      </c>
      <c r="B34" s="64" t="s">
        <v>33</v>
      </c>
      <c r="C34" s="62">
        <v>653</v>
      </c>
      <c r="D34" s="62">
        <v>112</v>
      </c>
      <c r="E34" s="5">
        <v>23664</v>
      </c>
      <c r="F34" s="5">
        <v>4.05</v>
      </c>
      <c r="G34" s="62">
        <v>15353</v>
      </c>
    </row>
    <row r="35" spans="1:7" ht="14.25" customHeight="1" x14ac:dyDescent="0.3">
      <c r="A35" s="63">
        <v>45502</v>
      </c>
      <c r="B35" s="64" t="s">
        <v>43</v>
      </c>
      <c r="C35" s="62">
        <v>160</v>
      </c>
      <c r="D35" s="62">
        <v>478</v>
      </c>
      <c r="E35" s="5">
        <v>435034</v>
      </c>
      <c r="F35" s="5">
        <v>7.73</v>
      </c>
      <c r="G35" s="62">
        <v>4839</v>
      </c>
    </row>
    <row r="36" spans="1:7" ht="14.25" customHeight="1" x14ac:dyDescent="0.3">
      <c r="A36" s="63">
        <v>45502</v>
      </c>
      <c r="B36" s="64" t="s">
        <v>14</v>
      </c>
      <c r="C36" s="62">
        <v>1756</v>
      </c>
      <c r="D36" s="62">
        <v>261</v>
      </c>
      <c r="E36" s="5">
        <v>287574</v>
      </c>
      <c r="F36" s="5">
        <v>4.3600000000000003</v>
      </c>
      <c r="G36" s="62">
        <v>39272</v>
      </c>
    </row>
    <row r="37" spans="1:7" ht="14.25" customHeight="1" x14ac:dyDescent="0.3">
      <c r="A37" s="63">
        <v>45502</v>
      </c>
      <c r="B37" s="64" t="s">
        <v>27</v>
      </c>
      <c r="C37" s="62">
        <v>576</v>
      </c>
      <c r="D37" s="62">
        <v>101</v>
      </c>
      <c r="E37" s="5">
        <v>62499</v>
      </c>
      <c r="F37" s="5">
        <v>3.48</v>
      </c>
      <c r="G37" s="62">
        <v>16804</v>
      </c>
    </row>
    <row r="38" spans="1:7" ht="14.25" customHeight="1" x14ac:dyDescent="0.3">
      <c r="A38" s="63">
        <v>45509</v>
      </c>
      <c r="B38" s="64" t="s">
        <v>33</v>
      </c>
      <c r="C38" s="62">
        <v>645</v>
      </c>
      <c r="D38" s="62">
        <v>293</v>
      </c>
      <c r="E38" s="5">
        <v>437968</v>
      </c>
      <c r="F38" s="5">
        <v>7.83</v>
      </c>
      <c r="G38" s="62">
        <v>49303</v>
      </c>
    </row>
    <row r="39" spans="1:7" ht="14.25" customHeight="1" x14ac:dyDescent="0.3">
      <c r="A39" s="63">
        <v>45509</v>
      </c>
      <c r="B39" s="64" t="s">
        <v>43</v>
      </c>
      <c r="C39" s="62">
        <v>214</v>
      </c>
      <c r="D39" s="62">
        <v>411</v>
      </c>
      <c r="E39" s="5">
        <v>125034</v>
      </c>
      <c r="F39" s="5">
        <v>6.11</v>
      </c>
      <c r="G39" s="62">
        <v>26455</v>
      </c>
    </row>
    <row r="40" spans="1:7" ht="14.25" customHeight="1" x14ac:dyDescent="0.3">
      <c r="A40" s="63">
        <v>45509</v>
      </c>
      <c r="B40" s="64" t="s">
        <v>14</v>
      </c>
      <c r="C40" s="62">
        <v>826</v>
      </c>
      <c r="D40" s="62">
        <v>498</v>
      </c>
      <c r="E40" s="5">
        <v>449994</v>
      </c>
      <c r="F40" s="5">
        <v>9.43</v>
      </c>
      <c r="G40" s="62">
        <v>12384</v>
      </c>
    </row>
    <row r="41" spans="1:7" ht="14.25" customHeight="1" x14ac:dyDescent="0.3">
      <c r="A41" s="63">
        <v>45509</v>
      </c>
      <c r="B41" s="64" t="s">
        <v>27</v>
      </c>
      <c r="C41" s="62">
        <v>460</v>
      </c>
      <c r="D41" s="62">
        <v>141</v>
      </c>
      <c r="E41" s="5">
        <v>320650</v>
      </c>
      <c r="F41" s="5">
        <v>4.04</v>
      </c>
      <c r="G41" s="62">
        <v>49372</v>
      </c>
    </row>
    <row r="42" spans="1:7" ht="14.25" customHeight="1" x14ac:dyDescent="0.3">
      <c r="A42" s="63">
        <v>45516</v>
      </c>
      <c r="B42" s="64" t="s">
        <v>33</v>
      </c>
      <c r="C42" s="62">
        <v>1528</v>
      </c>
      <c r="D42" s="62">
        <v>203</v>
      </c>
      <c r="E42" s="5">
        <v>489188</v>
      </c>
      <c r="F42" s="5">
        <v>6.23</v>
      </c>
      <c r="G42" s="62">
        <v>47101</v>
      </c>
    </row>
    <row r="43" spans="1:7" ht="14.25" customHeight="1" x14ac:dyDescent="0.3">
      <c r="A43" s="63">
        <v>45516</v>
      </c>
      <c r="B43" s="64" t="s">
        <v>43</v>
      </c>
      <c r="C43" s="62">
        <v>1534</v>
      </c>
      <c r="D43" s="62">
        <v>200</v>
      </c>
      <c r="E43" s="5">
        <v>307612</v>
      </c>
      <c r="F43" s="5">
        <v>6.01</v>
      </c>
      <c r="G43" s="62">
        <v>37903</v>
      </c>
    </row>
    <row r="44" spans="1:7" ht="14.25" customHeight="1" x14ac:dyDescent="0.3">
      <c r="A44" s="63">
        <v>45516</v>
      </c>
      <c r="B44" s="64" t="s">
        <v>14</v>
      </c>
      <c r="C44" s="62">
        <v>485</v>
      </c>
      <c r="D44" s="62">
        <v>448</v>
      </c>
      <c r="E44" s="5">
        <v>434883</v>
      </c>
      <c r="F44" s="5">
        <v>8.5500000000000007</v>
      </c>
      <c r="G44" s="62">
        <v>33258</v>
      </c>
    </row>
    <row r="45" spans="1:7" ht="14.25" customHeight="1" x14ac:dyDescent="0.3">
      <c r="A45" s="63">
        <v>45516</v>
      </c>
      <c r="B45" s="64" t="s">
        <v>27</v>
      </c>
      <c r="C45" s="62">
        <v>1210</v>
      </c>
      <c r="D45" s="62">
        <v>178</v>
      </c>
      <c r="E45" s="5">
        <v>102042</v>
      </c>
      <c r="F45" s="5">
        <v>5.42</v>
      </c>
      <c r="G45" s="62">
        <v>6915</v>
      </c>
    </row>
    <row r="46" spans="1:7" ht="14.25" customHeight="1" x14ac:dyDescent="0.3">
      <c r="A46" s="63">
        <v>45523</v>
      </c>
      <c r="B46" s="64" t="s">
        <v>33</v>
      </c>
      <c r="C46" s="62">
        <v>215</v>
      </c>
      <c r="D46" s="62">
        <v>139</v>
      </c>
      <c r="E46" s="5">
        <v>325444</v>
      </c>
      <c r="F46" s="5">
        <v>3.25</v>
      </c>
      <c r="G46" s="62">
        <v>35501</v>
      </c>
    </row>
    <row r="47" spans="1:7" ht="14.25" customHeight="1" x14ac:dyDescent="0.3">
      <c r="A47" s="63">
        <v>45523</v>
      </c>
      <c r="B47" s="64" t="s">
        <v>43</v>
      </c>
      <c r="C47" s="62">
        <v>1078</v>
      </c>
      <c r="D47" s="62">
        <v>20</v>
      </c>
      <c r="E47" s="5">
        <v>183924</v>
      </c>
      <c r="F47" s="5">
        <v>8.84</v>
      </c>
      <c r="G47" s="62">
        <v>14203</v>
      </c>
    </row>
    <row r="48" spans="1:7" ht="14.25" customHeight="1" x14ac:dyDescent="0.3">
      <c r="A48" s="63">
        <v>45523</v>
      </c>
      <c r="B48" s="64" t="s">
        <v>14</v>
      </c>
      <c r="C48" s="62">
        <v>1751</v>
      </c>
      <c r="D48" s="62">
        <v>86</v>
      </c>
      <c r="E48" s="5">
        <v>188655</v>
      </c>
      <c r="F48" s="5">
        <v>7.24</v>
      </c>
      <c r="G48" s="62">
        <v>22206</v>
      </c>
    </row>
    <row r="49" spans="1:7" ht="14.25" customHeight="1" x14ac:dyDescent="0.3">
      <c r="A49" s="63">
        <v>45523</v>
      </c>
      <c r="B49" s="64" t="s">
        <v>27</v>
      </c>
      <c r="C49" s="62">
        <v>221</v>
      </c>
      <c r="D49" s="62">
        <v>31</v>
      </c>
      <c r="E49" s="5">
        <v>87443</v>
      </c>
      <c r="F49" s="5">
        <v>6.19</v>
      </c>
      <c r="G49" s="62">
        <v>10283</v>
      </c>
    </row>
    <row r="50" spans="1:7" ht="14.25" customHeight="1" x14ac:dyDescent="0.3">
      <c r="A50" s="63">
        <v>45530</v>
      </c>
      <c r="B50" s="64" t="s">
        <v>33</v>
      </c>
      <c r="C50" s="62">
        <v>1685</v>
      </c>
      <c r="D50" s="62">
        <v>76</v>
      </c>
      <c r="E50" s="5">
        <v>453799</v>
      </c>
      <c r="F50" s="5">
        <v>5.71</v>
      </c>
      <c r="G50" s="62">
        <v>24913</v>
      </c>
    </row>
    <row r="51" spans="1:7" ht="14.25" customHeight="1" x14ac:dyDescent="0.3">
      <c r="A51" s="63">
        <v>45530</v>
      </c>
      <c r="B51" s="64" t="s">
        <v>43</v>
      </c>
      <c r="C51" s="62">
        <v>248</v>
      </c>
      <c r="D51" s="62">
        <v>211</v>
      </c>
      <c r="E51" s="5">
        <v>379380</v>
      </c>
      <c r="F51" s="5">
        <v>9.0399999999999991</v>
      </c>
      <c r="G51" s="62">
        <v>26925</v>
      </c>
    </row>
    <row r="52" spans="1:7" ht="14.25" customHeight="1" x14ac:dyDescent="0.3">
      <c r="A52" s="63">
        <v>45530</v>
      </c>
      <c r="B52" s="64" t="s">
        <v>14</v>
      </c>
      <c r="C52" s="62">
        <v>1300</v>
      </c>
      <c r="D52" s="62">
        <v>71</v>
      </c>
      <c r="E52" s="5">
        <v>186454</v>
      </c>
      <c r="F52" s="5">
        <v>3.91</v>
      </c>
      <c r="G52" s="62">
        <v>9942</v>
      </c>
    </row>
    <row r="53" spans="1:7" ht="14.25" customHeight="1" x14ac:dyDescent="0.3">
      <c r="A53" s="63">
        <v>45530</v>
      </c>
      <c r="B53" s="64" t="s">
        <v>27</v>
      </c>
      <c r="C53" s="62">
        <v>422</v>
      </c>
      <c r="D53" s="62">
        <v>394</v>
      </c>
      <c r="E53" s="5">
        <v>239044</v>
      </c>
      <c r="F53" s="5">
        <v>7.83</v>
      </c>
      <c r="G53" s="62">
        <v>32929</v>
      </c>
    </row>
    <row r="54" spans="1:7" ht="14.25" customHeight="1" x14ac:dyDescent="0.3">
      <c r="A54" s="63">
        <v>45537</v>
      </c>
      <c r="B54" s="64" t="s">
        <v>33</v>
      </c>
      <c r="C54" s="62">
        <v>1429</v>
      </c>
      <c r="D54" s="62">
        <v>182</v>
      </c>
      <c r="E54" s="5">
        <v>101332</v>
      </c>
      <c r="F54" s="5">
        <v>7.16</v>
      </c>
      <c r="G54" s="62">
        <v>37829</v>
      </c>
    </row>
    <row r="55" spans="1:7" ht="14.25" customHeight="1" x14ac:dyDescent="0.3">
      <c r="A55" s="63">
        <v>45537</v>
      </c>
      <c r="B55" s="64" t="s">
        <v>43</v>
      </c>
      <c r="C55" s="62">
        <v>1520</v>
      </c>
      <c r="D55" s="62">
        <v>475</v>
      </c>
      <c r="E55" s="5">
        <v>496982</v>
      </c>
      <c r="F55" s="5">
        <v>6.41</v>
      </c>
      <c r="G55" s="62">
        <v>24384</v>
      </c>
    </row>
    <row r="56" spans="1:7" ht="14.25" customHeight="1" x14ac:dyDescent="0.3">
      <c r="A56" s="63">
        <v>45537</v>
      </c>
      <c r="B56" s="64" t="s">
        <v>14</v>
      </c>
      <c r="C56" s="62">
        <v>557</v>
      </c>
      <c r="D56" s="62">
        <v>360</v>
      </c>
      <c r="E56" s="5">
        <v>318779</v>
      </c>
      <c r="F56" s="5">
        <v>8.02</v>
      </c>
      <c r="G56" s="62">
        <v>25797</v>
      </c>
    </row>
    <row r="57" spans="1:7" ht="14.25" customHeight="1" x14ac:dyDescent="0.3">
      <c r="A57" s="63">
        <v>45537</v>
      </c>
      <c r="B57" s="64" t="s">
        <v>27</v>
      </c>
      <c r="C57" s="62">
        <v>728</v>
      </c>
      <c r="D57" s="62">
        <v>395</v>
      </c>
      <c r="E57" s="5">
        <v>370971</v>
      </c>
      <c r="F57" s="5">
        <v>3.86</v>
      </c>
      <c r="G57" s="62">
        <v>12646</v>
      </c>
    </row>
    <row r="58" spans="1:7" ht="14.25" customHeight="1" x14ac:dyDescent="0.3">
      <c r="A58" s="63">
        <v>45544</v>
      </c>
      <c r="B58" s="64" t="s">
        <v>33</v>
      </c>
      <c r="C58" s="62">
        <v>1592</v>
      </c>
      <c r="D58" s="62">
        <v>20</v>
      </c>
      <c r="E58" s="5">
        <v>378054</v>
      </c>
      <c r="F58" s="5">
        <v>9.09</v>
      </c>
      <c r="G58" s="62">
        <v>26663</v>
      </c>
    </row>
    <row r="59" spans="1:7" ht="14.25" customHeight="1" x14ac:dyDescent="0.3">
      <c r="A59" s="63">
        <v>45544</v>
      </c>
      <c r="B59" s="64" t="s">
        <v>43</v>
      </c>
      <c r="C59" s="62">
        <v>1842</v>
      </c>
      <c r="D59" s="62">
        <v>414</v>
      </c>
      <c r="E59" s="5">
        <v>307524</v>
      </c>
      <c r="F59" s="5">
        <v>1.76</v>
      </c>
      <c r="G59" s="62">
        <v>40478</v>
      </c>
    </row>
    <row r="60" spans="1:7" ht="14.25" customHeight="1" x14ac:dyDescent="0.3">
      <c r="A60" s="63">
        <v>45544</v>
      </c>
      <c r="B60" s="64" t="s">
        <v>14</v>
      </c>
      <c r="C60" s="62">
        <v>751</v>
      </c>
      <c r="D60" s="62">
        <v>491</v>
      </c>
      <c r="E60" s="5">
        <v>434047</v>
      </c>
      <c r="F60" s="5">
        <v>9.24</v>
      </c>
      <c r="G60" s="62">
        <v>15476</v>
      </c>
    </row>
    <row r="61" spans="1:7" ht="14.25" customHeight="1" x14ac:dyDescent="0.3">
      <c r="A61" s="63">
        <v>45544</v>
      </c>
      <c r="B61" s="64" t="s">
        <v>27</v>
      </c>
      <c r="C61" s="62">
        <v>1409</v>
      </c>
      <c r="D61" s="62">
        <v>309</v>
      </c>
      <c r="E61" s="5">
        <v>64583</v>
      </c>
      <c r="F61" s="5">
        <v>8.99</v>
      </c>
      <c r="G61" s="62">
        <v>10217</v>
      </c>
    </row>
    <row r="62" spans="1:7" ht="14.25" customHeight="1" x14ac:dyDescent="0.3">
      <c r="A62" s="63">
        <v>45551</v>
      </c>
      <c r="B62" s="64" t="s">
        <v>33</v>
      </c>
      <c r="C62" s="62">
        <v>778</v>
      </c>
      <c r="D62" s="62">
        <v>401</v>
      </c>
      <c r="E62" s="5">
        <v>50793</v>
      </c>
      <c r="F62" s="5">
        <v>3.4</v>
      </c>
      <c r="G62" s="62">
        <v>21939</v>
      </c>
    </row>
    <row r="63" spans="1:7" ht="14.25" customHeight="1" x14ac:dyDescent="0.3">
      <c r="A63" s="63">
        <v>45551</v>
      </c>
      <c r="B63" s="64" t="s">
        <v>43</v>
      </c>
      <c r="C63" s="62">
        <v>443</v>
      </c>
      <c r="D63" s="62">
        <v>345</v>
      </c>
      <c r="E63" s="5">
        <v>474162</v>
      </c>
      <c r="F63" s="5">
        <v>9.1999999999999993</v>
      </c>
      <c r="G63" s="62">
        <v>47462</v>
      </c>
    </row>
    <row r="64" spans="1:7" ht="14.25" customHeight="1" x14ac:dyDescent="0.3">
      <c r="A64" s="63">
        <v>45551</v>
      </c>
      <c r="B64" s="64" t="s">
        <v>14</v>
      </c>
      <c r="C64" s="62">
        <v>1472</v>
      </c>
      <c r="D64" s="62">
        <v>347</v>
      </c>
      <c r="E64" s="5">
        <v>392355</v>
      </c>
      <c r="F64" s="5">
        <v>8.59</v>
      </c>
      <c r="G64" s="62">
        <v>30270</v>
      </c>
    </row>
    <row r="65" spans="1:7" ht="14.25" customHeight="1" x14ac:dyDescent="0.3">
      <c r="A65" s="63">
        <v>45551</v>
      </c>
      <c r="B65" s="64" t="s">
        <v>27</v>
      </c>
      <c r="C65" s="62">
        <v>123</v>
      </c>
      <c r="D65" s="62">
        <v>155</v>
      </c>
      <c r="E65" s="5">
        <v>119934</v>
      </c>
      <c r="F65" s="5">
        <v>3.5</v>
      </c>
      <c r="G65" s="62">
        <v>5442</v>
      </c>
    </row>
    <row r="66" spans="1:7" ht="14.25" customHeight="1" x14ac:dyDescent="0.3">
      <c r="A66" s="63">
        <v>45558</v>
      </c>
      <c r="B66" s="64" t="s">
        <v>33</v>
      </c>
      <c r="C66" s="62">
        <v>817</v>
      </c>
      <c r="D66" s="62">
        <v>151</v>
      </c>
      <c r="E66" s="5">
        <v>422625</v>
      </c>
      <c r="F66" s="5">
        <v>2.36</v>
      </c>
      <c r="G66" s="62">
        <v>1083</v>
      </c>
    </row>
    <row r="67" spans="1:7" ht="14.25" customHeight="1" x14ac:dyDescent="0.3">
      <c r="A67" s="63">
        <v>45558</v>
      </c>
      <c r="B67" s="64" t="s">
        <v>43</v>
      </c>
      <c r="C67" s="62">
        <v>198</v>
      </c>
      <c r="D67" s="62">
        <v>217</v>
      </c>
      <c r="E67" s="5">
        <v>239753</v>
      </c>
      <c r="F67" s="5">
        <v>7.36</v>
      </c>
      <c r="G67" s="62">
        <v>11901</v>
      </c>
    </row>
    <row r="68" spans="1:7" ht="14.25" customHeight="1" x14ac:dyDescent="0.3">
      <c r="A68" s="63">
        <v>45558</v>
      </c>
      <c r="B68" s="64" t="s">
        <v>14</v>
      </c>
      <c r="C68" s="62">
        <v>1911</v>
      </c>
      <c r="D68" s="62">
        <v>231</v>
      </c>
      <c r="E68" s="5">
        <v>268516</v>
      </c>
      <c r="F68" s="5">
        <v>8.5500000000000007</v>
      </c>
      <c r="G68" s="62">
        <v>24018</v>
      </c>
    </row>
    <row r="69" spans="1:7" ht="14.25" customHeight="1" x14ac:dyDescent="0.3">
      <c r="A69" s="63">
        <v>45558</v>
      </c>
      <c r="B69" s="64" t="s">
        <v>27</v>
      </c>
      <c r="C69" s="62">
        <v>1218</v>
      </c>
      <c r="D69" s="62">
        <v>212</v>
      </c>
      <c r="E69" s="5">
        <v>63177</v>
      </c>
      <c r="F69" s="5">
        <v>8.1300000000000008</v>
      </c>
      <c r="G69" s="62">
        <v>38883</v>
      </c>
    </row>
    <row r="70" spans="1:7" ht="14.25" customHeight="1" x14ac:dyDescent="0.3">
      <c r="A70" s="63">
        <v>45565</v>
      </c>
      <c r="B70" s="64" t="s">
        <v>33</v>
      </c>
      <c r="C70" s="62">
        <v>1433</v>
      </c>
      <c r="D70" s="62">
        <v>408</v>
      </c>
      <c r="E70" s="5">
        <v>370269</v>
      </c>
      <c r="F70" s="5">
        <v>3.3</v>
      </c>
      <c r="G70" s="62">
        <v>30575</v>
      </c>
    </row>
    <row r="71" spans="1:7" ht="14.25" customHeight="1" x14ac:dyDescent="0.3">
      <c r="A71" s="63">
        <v>45565</v>
      </c>
      <c r="B71" s="64" t="s">
        <v>43</v>
      </c>
      <c r="C71" s="62">
        <v>250</v>
      </c>
      <c r="D71" s="62">
        <v>429</v>
      </c>
      <c r="E71" s="5">
        <v>453423</v>
      </c>
      <c r="F71" s="5">
        <v>1.77</v>
      </c>
      <c r="G71" s="62">
        <v>2315</v>
      </c>
    </row>
    <row r="72" spans="1:7" ht="14.25" customHeight="1" x14ac:dyDescent="0.3">
      <c r="A72" s="63">
        <v>45565</v>
      </c>
      <c r="B72" s="64" t="s">
        <v>14</v>
      </c>
      <c r="C72" s="62">
        <v>752</v>
      </c>
      <c r="D72" s="62">
        <v>153</v>
      </c>
      <c r="E72" s="5">
        <v>64906</v>
      </c>
      <c r="F72" s="5">
        <v>2.09</v>
      </c>
      <c r="G72" s="62">
        <v>12148</v>
      </c>
    </row>
    <row r="73" spans="1:7" ht="14.25" customHeight="1" x14ac:dyDescent="0.3">
      <c r="A73" s="63">
        <v>45565</v>
      </c>
      <c r="B73" s="64" t="s">
        <v>27</v>
      </c>
      <c r="C73" s="62">
        <v>1918</v>
      </c>
      <c r="D73" s="62">
        <v>212</v>
      </c>
      <c r="E73" s="5">
        <v>94360</v>
      </c>
      <c r="F73" s="5">
        <v>7.36</v>
      </c>
      <c r="G73" s="62">
        <v>36851</v>
      </c>
    </row>
    <row r="74" spans="1:7" ht="14.25" customHeight="1" x14ac:dyDescent="0.3">
      <c r="A74" s="63">
        <v>45572</v>
      </c>
      <c r="B74" s="64" t="s">
        <v>33</v>
      </c>
      <c r="C74" s="62">
        <v>1939</v>
      </c>
      <c r="D74" s="62">
        <v>67</v>
      </c>
      <c r="E74" s="5">
        <v>187183</v>
      </c>
      <c r="F74" s="5">
        <v>6.25</v>
      </c>
      <c r="G74" s="62">
        <v>41215</v>
      </c>
    </row>
    <row r="75" spans="1:7" ht="14.25" customHeight="1" x14ac:dyDescent="0.3">
      <c r="A75" s="63">
        <v>45572</v>
      </c>
      <c r="B75" s="64" t="s">
        <v>43</v>
      </c>
      <c r="C75" s="62">
        <v>1929</v>
      </c>
      <c r="D75" s="62">
        <v>267</v>
      </c>
      <c r="E75" s="5">
        <v>379363</v>
      </c>
      <c r="F75" s="5">
        <v>1.75</v>
      </c>
      <c r="G75" s="62">
        <v>43836</v>
      </c>
    </row>
    <row r="76" spans="1:7" ht="14.25" customHeight="1" x14ac:dyDescent="0.3">
      <c r="A76" s="63">
        <v>45572</v>
      </c>
      <c r="B76" s="64" t="s">
        <v>14</v>
      </c>
      <c r="C76" s="62">
        <v>437</v>
      </c>
      <c r="D76" s="62">
        <v>330</v>
      </c>
      <c r="E76" s="5">
        <v>476486</v>
      </c>
      <c r="F76" s="5">
        <v>4.97</v>
      </c>
      <c r="G76" s="62">
        <v>4509</v>
      </c>
    </row>
    <row r="77" spans="1:7" ht="14.25" customHeight="1" x14ac:dyDescent="0.3">
      <c r="A77" s="63">
        <v>45572</v>
      </c>
      <c r="B77" s="64" t="s">
        <v>27</v>
      </c>
      <c r="C77" s="62">
        <v>307</v>
      </c>
      <c r="D77" s="62">
        <v>189</v>
      </c>
      <c r="E77" s="5">
        <v>117767</v>
      </c>
      <c r="F77" s="5">
        <v>9.3000000000000007</v>
      </c>
      <c r="G77" s="62">
        <v>27822</v>
      </c>
    </row>
    <row r="78" spans="1:7" ht="14.25" customHeight="1" x14ac:dyDescent="0.3">
      <c r="A78" s="63">
        <v>45579</v>
      </c>
      <c r="B78" s="64" t="s">
        <v>33</v>
      </c>
      <c r="C78" s="62">
        <v>1527</v>
      </c>
      <c r="D78" s="62">
        <v>303</v>
      </c>
      <c r="E78" s="5">
        <v>388555</v>
      </c>
      <c r="F78" s="5">
        <v>8.9</v>
      </c>
      <c r="G78" s="62">
        <v>36397</v>
      </c>
    </row>
    <row r="79" spans="1:7" ht="14.25" customHeight="1" x14ac:dyDescent="0.3">
      <c r="A79" s="63">
        <v>45579</v>
      </c>
      <c r="B79" s="64" t="s">
        <v>43</v>
      </c>
      <c r="C79" s="62">
        <v>643</v>
      </c>
      <c r="D79" s="62">
        <v>358</v>
      </c>
      <c r="E79" s="5">
        <v>157599</v>
      </c>
      <c r="F79" s="5">
        <v>3.88</v>
      </c>
      <c r="G79" s="62">
        <v>7285</v>
      </c>
    </row>
    <row r="80" spans="1:7" ht="14.25" customHeight="1" x14ac:dyDescent="0.3">
      <c r="A80" s="63">
        <v>45579</v>
      </c>
      <c r="B80" s="64" t="s">
        <v>14</v>
      </c>
      <c r="C80" s="62">
        <v>201</v>
      </c>
      <c r="D80" s="62">
        <v>221</v>
      </c>
      <c r="E80" s="5">
        <v>309772</v>
      </c>
      <c r="F80" s="5">
        <v>5.9</v>
      </c>
      <c r="G80" s="62">
        <v>33174</v>
      </c>
    </row>
    <row r="81" spans="1:7" ht="14.25" customHeight="1" x14ac:dyDescent="0.3">
      <c r="A81" s="63">
        <v>45579</v>
      </c>
      <c r="B81" s="64" t="s">
        <v>27</v>
      </c>
      <c r="C81" s="62">
        <v>414</v>
      </c>
      <c r="D81" s="62">
        <v>47</v>
      </c>
      <c r="E81" s="5">
        <v>199178</v>
      </c>
      <c r="F81" s="5">
        <v>1.53</v>
      </c>
      <c r="G81" s="62">
        <v>6742</v>
      </c>
    </row>
    <row r="82" spans="1:7" ht="14.25" customHeight="1" x14ac:dyDescent="0.3">
      <c r="A82" s="63">
        <v>45586</v>
      </c>
      <c r="B82" s="64" t="s">
        <v>33</v>
      </c>
      <c r="C82" s="62">
        <v>703</v>
      </c>
      <c r="D82" s="62">
        <v>441</v>
      </c>
      <c r="E82" s="5">
        <v>357089</v>
      </c>
      <c r="F82" s="5">
        <v>6.5</v>
      </c>
      <c r="G82" s="62">
        <v>32478</v>
      </c>
    </row>
    <row r="83" spans="1:7" ht="14.25" customHeight="1" x14ac:dyDescent="0.3">
      <c r="A83" s="63">
        <v>45586</v>
      </c>
      <c r="B83" s="64" t="s">
        <v>43</v>
      </c>
      <c r="C83" s="62">
        <v>508</v>
      </c>
      <c r="D83" s="62">
        <v>69</v>
      </c>
      <c r="E83" s="5">
        <v>23492</v>
      </c>
      <c r="F83" s="5">
        <v>3.16</v>
      </c>
      <c r="G83" s="62">
        <v>42824</v>
      </c>
    </row>
    <row r="84" spans="1:7" ht="14.25" customHeight="1" x14ac:dyDescent="0.3">
      <c r="A84" s="63">
        <v>45586</v>
      </c>
      <c r="B84" s="64" t="s">
        <v>14</v>
      </c>
      <c r="C84" s="62">
        <v>697</v>
      </c>
      <c r="D84" s="62">
        <v>61</v>
      </c>
      <c r="E84" s="5">
        <v>258287</v>
      </c>
      <c r="F84" s="5">
        <v>8.25</v>
      </c>
      <c r="G84" s="62">
        <v>21208</v>
      </c>
    </row>
    <row r="85" spans="1:7" ht="14.25" customHeight="1" x14ac:dyDescent="0.3">
      <c r="A85" s="63">
        <v>45586</v>
      </c>
      <c r="B85" s="64" t="s">
        <v>27</v>
      </c>
      <c r="C85" s="62">
        <v>1707</v>
      </c>
      <c r="D85" s="62">
        <v>223</v>
      </c>
      <c r="E85" s="5">
        <v>256910</v>
      </c>
      <c r="F85" s="5">
        <v>5.41</v>
      </c>
      <c r="G85" s="62">
        <v>44321</v>
      </c>
    </row>
    <row r="86" spans="1:7" ht="14.25" customHeight="1" x14ac:dyDescent="0.3">
      <c r="A86" s="63">
        <v>45593</v>
      </c>
      <c r="B86" s="64" t="s">
        <v>33</v>
      </c>
      <c r="C86" s="62">
        <v>642</v>
      </c>
      <c r="D86" s="62">
        <v>66</v>
      </c>
      <c r="E86" s="5">
        <v>346522</v>
      </c>
      <c r="F86" s="5">
        <v>5.85</v>
      </c>
      <c r="G86" s="62">
        <v>13116</v>
      </c>
    </row>
    <row r="87" spans="1:7" ht="14.25" customHeight="1" x14ac:dyDescent="0.3">
      <c r="A87" s="63">
        <v>45593</v>
      </c>
      <c r="B87" s="64" t="s">
        <v>43</v>
      </c>
      <c r="C87" s="62">
        <v>859</v>
      </c>
      <c r="D87" s="62">
        <v>473</v>
      </c>
      <c r="E87" s="5">
        <v>209987</v>
      </c>
      <c r="F87" s="5">
        <v>4.46</v>
      </c>
      <c r="G87" s="62">
        <v>30214</v>
      </c>
    </row>
    <row r="88" spans="1:7" ht="14.25" customHeight="1" x14ac:dyDescent="0.3">
      <c r="A88" s="63">
        <v>45593</v>
      </c>
      <c r="B88" s="64" t="s">
        <v>14</v>
      </c>
      <c r="C88" s="62">
        <v>191</v>
      </c>
      <c r="D88" s="62">
        <v>154</v>
      </c>
      <c r="E88" s="5">
        <v>240550</v>
      </c>
      <c r="F88" s="5">
        <v>5.22</v>
      </c>
      <c r="G88" s="62">
        <v>15827</v>
      </c>
    </row>
    <row r="89" spans="1:7" ht="14.25" customHeight="1" x14ac:dyDescent="0.3">
      <c r="A89" s="63">
        <v>45593</v>
      </c>
      <c r="B89" s="64" t="s">
        <v>27</v>
      </c>
      <c r="C89" s="62">
        <v>1814</v>
      </c>
      <c r="D89" s="62">
        <v>157</v>
      </c>
      <c r="E89" s="5">
        <v>305827</v>
      </c>
      <c r="F89" s="5">
        <v>1.99</v>
      </c>
      <c r="G89" s="62">
        <v>46643</v>
      </c>
    </row>
    <row r="90" spans="1:7" ht="14.25" customHeight="1" x14ac:dyDescent="0.3">
      <c r="A90" s="63">
        <v>45600</v>
      </c>
      <c r="B90" s="64" t="s">
        <v>33</v>
      </c>
      <c r="C90" s="62">
        <v>1466</v>
      </c>
      <c r="D90" s="62">
        <v>69</v>
      </c>
      <c r="E90" s="5">
        <v>54935</v>
      </c>
      <c r="F90" s="5">
        <v>6.85</v>
      </c>
      <c r="G90" s="62">
        <v>36484</v>
      </c>
    </row>
    <row r="91" spans="1:7" ht="14.25" customHeight="1" x14ac:dyDescent="0.3">
      <c r="A91" s="63">
        <v>45600</v>
      </c>
      <c r="B91" s="64" t="s">
        <v>43</v>
      </c>
      <c r="C91" s="62">
        <v>947</v>
      </c>
      <c r="D91" s="62">
        <v>407</v>
      </c>
      <c r="E91" s="5">
        <v>319186</v>
      </c>
      <c r="F91" s="5">
        <v>3.32</v>
      </c>
      <c r="G91" s="62">
        <v>4996</v>
      </c>
    </row>
    <row r="92" spans="1:7" ht="14.25" customHeight="1" x14ac:dyDescent="0.3">
      <c r="A92" s="63">
        <v>45600</v>
      </c>
      <c r="B92" s="64" t="s">
        <v>14</v>
      </c>
      <c r="C92" s="62">
        <v>1821</v>
      </c>
      <c r="D92" s="62">
        <v>218</v>
      </c>
      <c r="E92" s="5">
        <v>439080</v>
      </c>
      <c r="F92" s="5">
        <v>5.68</v>
      </c>
      <c r="G92" s="62">
        <v>36095</v>
      </c>
    </row>
    <row r="93" spans="1:7" ht="14.25" customHeight="1" x14ac:dyDescent="0.3">
      <c r="A93" s="63">
        <v>45600</v>
      </c>
      <c r="B93" s="64" t="s">
        <v>27</v>
      </c>
      <c r="C93" s="62">
        <v>1507</v>
      </c>
      <c r="D93" s="62">
        <v>463</v>
      </c>
      <c r="E93" s="5">
        <v>258944</v>
      </c>
      <c r="F93" s="5">
        <v>6.08</v>
      </c>
      <c r="G93" s="62">
        <v>16443</v>
      </c>
    </row>
    <row r="94" spans="1:7" ht="14.25" customHeight="1" x14ac:dyDescent="0.3">
      <c r="A94" s="63">
        <v>45607</v>
      </c>
      <c r="B94" s="64" t="s">
        <v>33</v>
      </c>
      <c r="C94" s="62">
        <v>1075</v>
      </c>
      <c r="D94" s="62">
        <v>173</v>
      </c>
      <c r="E94" s="5">
        <v>51395</v>
      </c>
      <c r="F94" s="5">
        <v>4.66</v>
      </c>
      <c r="G94" s="62">
        <v>47812</v>
      </c>
    </row>
    <row r="95" spans="1:7" ht="14.25" customHeight="1" x14ac:dyDescent="0.3">
      <c r="A95" s="63">
        <v>45607</v>
      </c>
      <c r="B95" s="64" t="s">
        <v>43</v>
      </c>
      <c r="C95" s="62">
        <v>171</v>
      </c>
      <c r="D95" s="62">
        <v>277</v>
      </c>
      <c r="E95" s="5">
        <v>309483</v>
      </c>
      <c r="F95" s="5">
        <v>8.6999999999999993</v>
      </c>
      <c r="G95" s="62">
        <v>38452</v>
      </c>
    </row>
    <row r="96" spans="1:7" ht="14.25" customHeight="1" x14ac:dyDescent="0.3">
      <c r="A96" s="63">
        <v>45607</v>
      </c>
      <c r="B96" s="64" t="s">
        <v>14</v>
      </c>
      <c r="C96" s="62">
        <v>1487</v>
      </c>
      <c r="D96" s="62">
        <v>337</v>
      </c>
      <c r="E96" s="5">
        <v>87305</v>
      </c>
      <c r="F96" s="5">
        <v>2.46</v>
      </c>
      <c r="G96" s="62">
        <v>30428</v>
      </c>
    </row>
    <row r="97" spans="1:7" ht="14.25" customHeight="1" x14ac:dyDescent="0.3">
      <c r="A97" s="63">
        <v>45607</v>
      </c>
      <c r="B97" s="64" t="s">
        <v>27</v>
      </c>
      <c r="C97" s="62">
        <v>454</v>
      </c>
      <c r="D97" s="62">
        <v>105</v>
      </c>
      <c r="E97" s="5">
        <v>121091</v>
      </c>
      <c r="F97" s="5">
        <v>7.97</v>
      </c>
      <c r="G97" s="62">
        <v>9269</v>
      </c>
    </row>
    <row r="98" spans="1:7" ht="14.25" customHeight="1" x14ac:dyDescent="0.3">
      <c r="A98" s="63">
        <v>45614</v>
      </c>
      <c r="B98" s="64" t="s">
        <v>33</v>
      </c>
      <c r="C98" s="62">
        <v>187</v>
      </c>
      <c r="D98" s="62">
        <v>236</v>
      </c>
      <c r="E98" s="5">
        <v>51087</v>
      </c>
      <c r="F98" s="5">
        <v>9.41</v>
      </c>
      <c r="G98" s="62">
        <v>29533</v>
      </c>
    </row>
    <row r="99" spans="1:7" ht="14.25" customHeight="1" x14ac:dyDescent="0.3">
      <c r="A99" s="63">
        <v>45614</v>
      </c>
      <c r="B99" s="64" t="s">
        <v>43</v>
      </c>
      <c r="C99" s="62">
        <v>513</v>
      </c>
      <c r="D99" s="62">
        <v>441</v>
      </c>
      <c r="E99" s="5">
        <v>338847</v>
      </c>
      <c r="F99" s="5">
        <v>2.68</v>
      </c>
      <c r="G99" s="62">
        <v>39997</v>
      </c>
    </row>
    <row r="100" spans="1:7" ht="14.25" customHeight="1" x14ac:dyDescent="0.3">
      <c r="A100" s="63">
        <v>45614</v>
      </c>
      <c r="B100" s="64" t="s">
        <v>14</v>
      </c>
      <c r="C100" s="62">
        <v>628</v>
      </c>
      <c r="D100" s="62">
        <v>183</v>
      </c>
      <c r="E100" s="5">
        <v>487523</v>
      </c>
      <c r="F100" s="5">
        <v>7.32</v>
      </c>
      <c r="G100" s="62">
        <v>5391</v>
      </c>
    </row>
    <row r="101" spans="1:7" ht="14.25" customHeight="1" x14ac:dyDescent="0.3">
      <c r="A101" s="63">
        <v>45614</v>
      </c>
      <c r="B101" s="64" t="s">
        <v>27</v>
      </c>
      <c r="C101" s="62">
        <v>278</v>
      </c>
      <c r="D101" s="62">
        <v>218</v>
      </c>
      <c r="E101" s="5">
        <v>301695</v>
      </c>
      <c r="F101" s="5">
        <v>4.68</v>
      </c>
      <c r="G101" s="62">
        <v>22373</v>
      </c>
    </row>
    <row r="102" spans="1:7" ht="14.25" customHeight="1" x14ac:dyDescent="0.3">
      <c r="A102" s="63">
        <v>45621</v>
      </c>
      <c r="B102" s="64" t="s">
        <v>33</v>
      </c>
      <c r="C102" s="62">
        <v>1854</v>
      </c>
      <c r="D102" s="62">
        <v>161</v>
      </c>
      <c r="E102" s="5">
        <v>282466</v>
      </c>
      <c r="F102" s="5">
        <v>5.17</v>
      </c>
      <c r="G102" s="62">
        <v>1810</v>
      </c>
    </row>
    <row r="103" spans="1:7" ht="14.25" customHeight="1" x14ac:dyDescent="0.3">
      <c r="A103" s="63">
        <v>45621</v>
      </c>
      <c r="B103" s="64" t="s">
        <v>43</v>
      </c>
      <c r="C103" s="62">
        <v>1710</v>
      </c>
      <c r="D103" s="62">
        <v>378</v>
      </c>
      <c r="E103" s="5">
        <v>336661</v>
      </c>
      <c r="F103" s="5">
        <v>6.2</v>
      </c>
      <c r="G103" s="62">
        <v>28498</v>
      </c>
    </row>
    <row r="104" spans="1:7" ht="14.25" customHeight="1" x14ac:dyDescent="0.3">
      <c r="A104" s="63">
        <v>45621</v>
      </c>
      <c r="B104" s="64" t="s">
        <v>14</v>
      </c>
      <c r="C104" s="62">
        <v>330</v>
      </c>
      <c r="D104" s="62">
        <v>232</v>
      </c>
      <c r="E104" s="5">
        <v>88455</v>
      </c>
      <c r="F104" s="5">
        <v>2.69</v>
      </c>
      <c r="G104" s="62">
        <v>39530</v>
      </c>
    </row>
    <row r="105" spans="1:7" ht="14.25" customHeight="1" x14ac:dyDescent="0.3">
      <c r="A105" s="63">
        <v>45621</v>
      </c>
      <c r="B105" s="64" t="s">
        <v>27</v>
      </c>
      <c r="C105" s="62">
        <v>1293</v>
      </c>
      <c r="D105" s="62">
        <v>408</v>
      </c>
      <c r="E105" s="5">
        <v>62535</v>
      </c>
      <c r="F105" s="5">
        <v>8.9</v>
      </c>
      <c r="G105" s="62">
        <v>37876</v>
      </c>
    </row>
    <row r="106" spans="1:7" ht="14.25" customHeight="1" x14ac:dyDescent="0.3">
      <c r="A106" s="63">
        <v>45628</v>
      </c>
      <c r="B106" s="64" t="s">
        <v>33</v>
      </c>
      <c r="C106" s="62">
        <v>1696</v>
      </c>
      <c r="D106" s="62">
        <v>71</v>
      </c>
      <c r="E106" s="5">
        <v>421957</v>
      </c>
      <c r="F106" s="5">
        <v>3.79</v>
      </c>
      <c r="G106" s="62">
        <v>36103</v>
      </c>
    </row>
    <row r="107" spans="1:7" ht="14.25" customHeight="1" x14ac:dyDescent="0.3">
      <c r="A107" s="63">
        <v>45628</v>
      </c>
      <c r="B107" s="64" t="s">
        <v>43</v>
      </c>
      <c r="C107" s="62">
        <v>1902</v>
      </c>
      <c r="D107" s="62">
        <v>196</v>
      </c>
      <c r="E107" s="5">
        <v>470269</v>
      </c>
      <c r="F107" s="5">
        <v>4.79</v>
      </c>
      <c r="G107" s="62">
        <v>26103</v>
      </c>
    </row>
    <row r="108" spans="1:7" ht="14.25" customHeight="1" x14ac:dyDescent="0.3">
      <c r="A108" s="63">
        <v>45628</v>
      </c>
      <c r="B108" s="64" t="s">
        <v>14</v>
      </c>
      <c r="C108" s="62">
        <v>1441</v>
      </c>
      <c r="D108" s="62">
        <v>268</v>
      </c>
      <c r="E108" s="5">
        <v>309904</v>
      </c>
      <c r="F108" s="5">
        <v>6.37</v>
      </c>
      <c r="G108" s="62">
        <v>3455</v>
      </c>
    </row>
    <row r="109" spans="1:7" ht="14.25" customHeight="1" x14ac:dyDescent="0.3">
      <c r="A109" s="63">
        <v>45628</v>
      </c>
      <c r="B109" s="64" t="s">
        <v>27</v>
      </c>
      <c r="C109" s="62">
        <v>452</v>
      </c>
      <c r="D109" s="62">
        <v>161</v>
      </c>
      <c r="E109" s="5">
        <v>221274</v>
      </c>
      <c r="F109" s="5">
        <v>2.65</v>
      </c>
      <c r="G109" s="62">
        <v>40888</v>
      </c>
    </row>
    <row r="110" spans="1:7" ht="14.25" customHeight="1" x14ac:dyDescent="0.3">
      <c r="A110" s="63">
        <v>45635</v>
      </c>
      <c r="B110" s="64" t="s">
        <v>33</v>
      </c>
      <c r="C110" s="62">
        <v>1494</v>
      </c>
      <c r="D110" s="62">
        <v>375</v>
      </c>
      <c r="E110" s="5">
        <v>220616</v>
      </c>
      <c r="F110" s="5">
        <v>1.81</v>
      </c>
      <c r="G110" s="62">
        <v>22724</v>
      </c>
    </row>
    <row r="111" spans="1:7" ht="14.25" customHeight="1" x14ac:dyDescent="0.3">
      <c r="A111" s="63">
        <v>45635</v>
      </c>
      <c r="B111" s="64" t="s">
        <v>43</v>
      </c>
      <c r="C111" s="62">
        <v>1514</v>
      </c>
      <c r="D111" s="62">
        <v>141</v>
      </c>
      <c r="E111" s="5">
        <v>35842</v>
      </c>
      <c r="F111" s="5">
        <v>7.47</v>
      </c>
      <c r="G111" s="62">
        <v>18601</v>
      </c>
    </row>
    <row r="112" spans="1:7" ht="14.25" customHeight="1" x14ac:dyDescent="0.3">
      <c r="A112" s="63">
        <v>45635</v>
      </c>
      <c r="B112" s="64" t="s">
        <v>14</v>
      </c>
      <c r="C112" s="62">
        <v>1937</v>
      </c>
      <c r="D112" s="62">
        <v>210</v>
      </c>
      <c r="E112" s="5">
        <v>20607</v>
      </c>
      <c r="F112" s="5">
        <v>4.2</v>
      </c>
      <c r="G112" s="62">
        <v>20861</v>
      </c>
    </row>
    <row r="113" spans="1:7" ht="14.25" customHeight="1" x14ac:dyDescent="0.3">
      <c r="A113" s="63">
        <v>45635</v>
      </c>
      <c r="B113" s="64" t="s">
        <v>27</v>
      </c>
      <c r="C113" s="62">
        <v>736</v>
      </c>
      <c r="D113" s="62">
        <v>163</v>
      </c>
      <c r="E113" s="5">
        <v>451894</v>
      </c>
      <c r="F113" s="5">
        <v>5.43</v>
      </c>
      <c r="G113" s="62">
        <v>46625</v>
      </c>
    </row>
    <row r="114" spans="1:7" ht="14.25" customHeight="1" x14ac:dyDescent="0.3">
      <c r="A114" s="63">
        <v>45642</v>
      </c>
      <c r="B114" s="64" t="s">
        <v>33</v>
      </c>
      <c r="C114" s="62">
        <v>1502</v>
      </c>
      <c r="D114" s="62">
        <v>70</v>
      </c>
      <c r="E114" s="5">
        <v>465553</v>
      </c>
      <c r="F114" s="5">
        <v>3.32</v>
      </c>
      <c r="G114" s="62">
        <v>20692</v>
      </c>
    </row>
    <row r="115" spans="1:7" ht="14.25" customHeight="1" x14ac:dyDescent="0.3">
      <c r="A115" s="63">
        <v>45642</v>
      </c>
      <c r="B115" s="64" t="s">
        <v>43</v>
      </c>
      <c r="C115" s="62">
        <v>1623</v>
      </c>
      <c r="D115" s="62">
        <v>246</v>
      </c>
      <c r="E115" s="5">
        <v>415815</v>
      </c>
      <c r="F115" s="5">
        <v>8.11</v>
      </c>
      <c r="G115" s="62">
        <v>18656</v>
      </c>
    </row>
    <row r="116" spans="1:7" ht="14.25" customHeight="1" x14ac:dyDescent="0.3">
      <c r="A116" s="63">
        <v>45642</v>
      </c>
      <c r="B116" s="64" t="s">
        <v>14</v>
      </c>
      <c r="C116" s="62">
        <v>1592</v>
      </c>
      <c r="D116" s="62">
        <v>233</v>
      </c>
      <c r="E116" s="5">
        <v>327183</v>
      </c>
      <c r="F116" s="5">
        <v>6.66</v>
      </c>
      <c r="G116" s="62">
        <v>13316</v>
      </c>
    </row>
    <row r="117" spans="1:7" ht="14.25" customHeight="1" x14ac:dyDescent="0.3">
      <c r="A117" s="63">
        <v>45642</v>
      </c>
      <c r="B117" s="64" t="s">
        <v>27</v>
      </c>
      <c r="C117" s="62">
        <v>1004</v>
      </c>
      <c r="D117" s="62">
        <v>128</v>
      </c>
      <c r="E117" s="5">
        <v>488901</v>
      </c>
      <c r="F117" s="5">
        <v>8.09</v>
      </c>
      <c r="G117" s="62">
        <v>49558</v>
      </c>
    </row>
    <row r="118" spans="1:7" ht="14.25" customHeight="1" x14ac:dyDescent="0.3">
      <c r="A118" s="63">
        <v>45649</v>
      </c>
      <c r="B118" s="64" t="s">
        <v>33</v>
      </c>
      <c r="C118" s="62">
        <v>1092</v>
      </c>
      <c r="D118" s="62">
        <v>408</v>
      </c>
      <c r="E118" s="5">
        <v>280795</v>
      </c>
      <c r="F118" s="5">
        <v>8.44</v>
      </c>
      <c r="G118" s="62">
        <v>4683</v>
      </c>
    </row>
    <row r="119" spans="1:7" ht="14.25" customHeight="1" x14ac:dyDescent="0.3">
      <c r="A119" s="63">
        <v>45649</v>
      </c>
      <c r="B119" s="64" t="s">
        <v>43</v>
      </c>
      <c r="C119" s="62">
        <v>1155</v>
      </c>
      <c r="D119" s="62">
        <v>425</v>
      </c>
      <c r="E119" s="5">
        <v>93347</v>
      </c>
      <c r="F119" s="5">
        <v>2.02</v>
      </c>
      <c r="G119" s="62">
        <v>47502</v>
      </c>
    </row>
    <row r="120" spans="1:7" ht="14.25" customHeight="1" x14ac:dyDescent="0.3">
      <c r="A120" s="63">
        <v>45649</v>
      </c>
      <c r="B120" s="64" t="s">
        <v>14</v>
      </c>
      <c r="C120" s="62">
        <v>1137</v>
      </c>
      <c r="D120" s="62">
        <v>226</v>
      </c>
      <c r="E120" s="5">
        <v>81119</v>
      </c>
      <c r="F120" s="5">
        <v>7.74</v>
      </c>
      <c r="G120" s="62">
        <v>35359</v>
      </c>
    </row>
    <row r="121" spans="1:7" ht="14.25" customHeight="1" x14ac:dyDescent="0.3">
      <c r="A121" s="63">
        <v>45649</v>
      </c>
      <c r="B121" s="64" t="s">
        <v>27</v>
      </c>
      <c r="C121" s="62">
        <v>1900</v>
      </c>
      <c r="D121" s="62">
        <v>311</v>
      </c>
      <c r="E121" s="5">
        <v>25177</v>
      </c>
      <c r="F121" s="5">
        <v>2.89</v>
      </c>
      <c r="G121" s="62">
        <v>14154</v>
      </c>
    </row>
    <row r="122" spans="1:7" ht="14.25" customHeight="1" x14ac:dyDescent="0.3">
      <c r="A122" s="63">
        <v>45656</v>
      </c>
      <c r="B122" s="64" t="s">
        <v>33</v>
      </c>
      <c r="C122" s="62">
        <v>1814</v>
      </c>
      <c r="D122" s="62">
        <v>49</v>
      </c>
      <c r="E122" s="5">
        <v>140804</v>
      </c>
      <c r="F122" s="5">
        <v>1.76</v>
      </c>
      <c r="G122" s="62">
        <v>4313</v>
      </c>
    </row>
    <row r="123" spans="1:7" ht="14.25" customHeight="1" x14ac:dyDescent="0.3">
      <c r="A123" s="63">
        <v>45656</v>
      </c>
      <c r="B123" s="64" t="s">
        <v>43</v>
      </c>
      <c r="C123" s="62">
        <v>1980</v>
      </c>
      <c r="D123" s="62">
        <v>204</v>
      </c>
      <c r="E123" s="5">
        <v>379431</v>
      </c>
      <c r="F123" s="5">
        <v>3.09</v>
      </c>
      <c r="G123" s="62">
        <v>25140</v>
      </c>
    </row>
    <row r="124" spans="1:7" ht="14.25" customHeight="1" x14ac:dyDescent="0.3">
      <c r="A124" s="63">
        <v>45656</v>
      </c>
      <c r="B124" s="64" t="s">
        <v>14</v>
      </c>
      <c r="C124" s="62">
        <v>1786</v>
      </c>
      <c r="D124" s="62">
        <v>257</v>
      </c>
      <c r="E124" s="5">
        <v>274831</v>
      </c>
      <c r="F124" s="5">
        <v>4.68</v>
      </c>
      <c r="G124" s="62">
        <v>9118</v>
      </c>
    </row>
    <row r="125" spans="1:7" ht="14.25" customHeight="1" x14ac:dyDescent="0.3">
      <c r="A125" s="63">
        <v>45656</v>
      </c>
      <c r="B125" s="64" t="s">
        <v>27</v>
      </c>
      <c r="C125" s="62">
        <v>1495</v>
      </c>
      <c r="D125" s="62">
        <v>35</v>
      </c>
      <c r="E125" s="5">
        <v>136845</v>
      </c>
      <c r="F125" s="5">
        <v>4.4800000000000004</v>
      </c>
      <c r="G125" s="62">
        <v>39931</v>
      </c>
    </row>
    <row r="126" spans="1:7" ht="14.25" customHeight="1" x14ac:dyDescent="0.3">
      <c r="A126" s="63">
        <v>45663</v>
      </c>
      <c r="B126" s="64" t="s">
        <v>33</v>
      </c>
      <c r="C126" s="62">
        <v>1013</v>
      </c>
      <c r="D126" s="62">
        <v>110</v>
      </c>
      <c r="E126" s="5">
        <v>466382</v>
      </c>
      <c r="F126" s="5">
        <v>5.3</v>
      </c>
      <c r="G126" s="62">
        <v>37132</v>
      </c>
    </row>
    <row r="127" spans="1:7" ht="14.25" customHeight="1" x14ac:dyDescent="0.3">
      <c r="A127" s="63">
        <v>45663</v>
      </c>
      <c r="B127" s="64" t="s">
        <v>43</v>
      </c>
      <c r="C127" s="62">
        <v>816</v>
      </c>
      <c r="D127" s="62">
        <v>196</v>
      </c>
      <c r="E127" s="5">
        <v>95728</v>
      </c>
      <c r="F127" s="5">
        <v>8.1999999999999993</v>
      </c>
      <c r="G127" s="62">
        <v>17951</v>
      </c>
    </row>
    <row r="128" spans="1:7" ht="14.25" customHeight="1" x14ac:dyDescent="0.3">
      <c r="A128" s="63">
        <v>45663</v>
      </c>
      <c r="B128" s="64" t="s">
        <v>14</v>
      </c>
      <c r="C128" s="62">
        <v>1633</v>
      </c>
      <c r="D128" s="62">
        <v>445</v>
      </c>
      <c r="E128" s="5">
        <v>371156</v>
      </c>
      <c r="F128" s="5">
        <v>2.2200000000000002</v>
      </c>
      <c r="G128" s="62">
        <v>2798</v>
      </c>
    </row>
    <row r="129" spans="1:7" ht="14.25" customHeight="1" x14ac:dyDescent="0.3">
      <c r="A129" s="63">
        <v>45663</v>
      </c>
      <c r="B129" s="64" t="s">
        <v>27</v>
      </c>
      <c r="C129" s="62">
        <v>891</v>
      </c>
      <c r="D129" s="62">
        <v>45</v>
      </c>
      <c r="E129" s="5">
        <v>95410</v>
      </c>
      <c r="F129" s="5">
        <v>8.33</v>
      </c>
      <c r="G129" s="62">
        <v>15045</v>
      </c>
    </row>
    <row r="130" spans="1:7" ht="14.25" customHeight="1" x14ac:dyDescent="0.3">
      <c r="A130" s="63">
        <v>45670</v>
      </c>
      <c r="B130" s="64" t="s">
        <v>33</v>
      </c>
      <c r="C130" s="62">
        <v>1855</v>
      </c>
      <c r="D130" s="62">
        <v>133</v>
      </c>
      <c r="E130" s="5">
        <v>349413</v>
      </c>
      <c r="F130" s="5">
        <v>3.3</v>
      </c>
      <c r="G130" s="62">
        <v>14548</v>
      </c>
    </row>
    <row r="131" spans="1:7" ht="14.25" customHeight="1" x14ac:dyDescent="0.3">
      <c r="A131" s="63">
        <v>45670</v>
      </c>
      <c r="B131" s="64" t="s">
        <v>43</v>
      </c>
      <c r="C131" s="62">
        <v>651</v>
      </c>
      <c r="D131" s="62">
        <v>353</v>
      </c>
      <c r="E131" s="5">
        <v>224699</v>
      </c>
      <c r="F131" s="5">
        <v>5.61</v>
      </c>
      <c r="G131" s="62">
        <v>45708</v>
      </c>
    </row>
    <row r="132" spans="1:7" ht="14.25" customHeight="1" x14ac:dyDescent="0.3">
      <c r="A132" s="63">
        <v>45670</v>
      </c>
      <c r="B132" s="64" t="s">
        <v>14</v>
      </c>
      <c r="C132" s="62">
        <v>118</v>
      </c>
      <c r="D132" s="62">
        <v>262</v>
      </c>
      <c r="E132" s="5">
        <v>487896</v>
      </c>
      <c r="F132" s="5">
        <v>2.56</v>
      </c>
      <c r="G132" s="62">
        <v>12350</v>
      </c>
    </row>
    <row r="133" spans="1:7" ht="14.25" customHeight="1" x14ac:dyDescent="0.3">
      <c r="A133" s="63">
        <v>45670</v>
      </c>
      <c r="B133" s="64" t="s">
        <v>27</v>
      </c>
      <c r="C133" s="62">
        <v>1331</v>
      </c>
      <c r="D133" s="62">
        <v>430</v>
      </c>
      <c r="E133" s="5">
        <v>14437</v>
      </c>
      <c r="F133" s="5">
        <v>3.29</v>
      </c>
      <c r="G133" s="62">
        <v>40868</v>
      </c>
    </row>
    <row r="134" spans="1:7" ht="14.25" customHeight="1" x14ac:dyDescent="0.3">
      <c r="A134" s="63">
        <v>45677</v>
      </c>
      <c r="B134" s="64" t="s">
        <v>33</v>
      </c>
      <c r="C134" s="62">
        <v>1748</v>
      </c>
      <c r="D134" s="62">
        <v>176</v>
      </c>
      <c r="E134" s="5">
        <v>383681</v>
      </c>
      <c r="F134" s="5">
        <v>9.24</v>
      </c>
      <c r="G134" s="62">
        <v>43122</v>
      </c>
    </row>
    <row r="135" spans="1:7" ht="14.25" customHeight="1" x14ac:dyDescent="0.3">
      <c r="A135" s="63">
        <v>45677</v>
      </c>
      <c r="B135" s="64" t="s">
        <v>43</v>
      </c>
      <c r="C135" s="62">
        <v>663</v>
      </c>
      <c r="D135" s="62">
        <v>236</v>
      </c>
      <c r="E135" s="5">
        <v>479490</v>
      </c>
      <c r="F135" s="5">
        <v>4.51</v>
      </c>
      <c r="G135" s="62">
        <v>23853</v>
      </c>
    </row>
    <row r="136" spans="1:7" ht="14.25" customHeight="1" x14ac:dyDescent="0.3">
      <c r="A136" s="63">
        <v>45677</v>
      </c>
      <c r="B136" s="64" t="s">
        <v>14</v>
      </c>
      <c r="C136" s="62">
        <v>1040</v>
      </c>
      <c r="D136" s="62">
        <v>149</v>
      </c>
      <c r="E136" s="5">
        <v>124404</v>
      </c>
      <c r="F136" s="5">
        <v>5.23</v>
      </c>
      <c r="G136" s="62">
        <v>45380</v>
      </c>
    </row>
    <row r="137" spans="1:7" ht="14.25" customHeight="1" x14ac:dyDescent="0.3">
      <c r="A137" s="63">
        <v>45677</v>
      </c>
      <c r="B137" s="64" t="s">
        <v>27</v>
      </c>
      <c r="C137" s="62">
        <v>1166</v>
      </c>
      <c r="D137" s="62">
        <v>442</v>
      </c>
      <c r="E137" s="5">
        <v>336949</v>
      </c>
      <c r="F137" s="5">
        <v>4.68</v>
      </c>
      <c r="G137" s="62">
        <v>7705</v>
      </c>
    </row>
    <row r="138" spans="1:7" ht="14.25" customHeight="1" x14ac:dyDescent="0.3">
      <c r="A138" s="63">
        <v>45684</v>
      </c>
      <c r="B138" s="64" t="s">
        <v>33</v>
      </c>
      <c r="C138" s="62">
        <v>115</v>
      </c>
      <c r="D138" s="62">
        <v>281</v>
      </c>
      <c r="E138" s="5">
        <v>357265</v>
      </c>
      <c r="F138" s="5">
        <v>9.23</v>
      </c>
      <c r="G138" s="62">
        <v>25525</v>
      </c>
    </row>
    <row r="139" spans="1:7" ht="14.25" customHeight="1" x14ac:dyDescent="0.3">
      <c r="A139" s="63">
        <v>45684</v>
      </c>
      <c r="B139" s="64" t="s">
        <v>43</v>
      </c>
      <c r="C139" s="62">
        <v>1249</v>
      </c>
      <c r="D139" s="62">
        <v>351</v>
      </c>
      <c r="E139" s="5">
        <v>321307</v>
      </c>
      <c r="F139" s="5">
        <v>6.37</v>
      </c>
      <c r="G139" s="62">
        <v>20560</v>
      </c>
    </row>
    <row r="140" spans="1:7" ht="14.25" customHeight="1" x14ac:dyDescent="0.3">
      <c r="A140" s="63">
        <v>45684</v>
      </c>
      <c r="B140" s="64" t="s">
        <v>14</v>
      </c>
      <c r="C140" s="62">
        <v>1501</v>
      </c>
      <c r="D140" s="62">
        <v>75</v>
      </c>
      <c r="E140" s="5">
        <v>262569</v>
      </c>
      <c r="F140" s="5">
        <v>2.0099999999999998</v>
      </c>
      <c r="G140" s="62">
        <v>19119</v>
      </c>
    </row>
    <row r="141" spans="1:7" ht="14.25" customHeight="1" x14ac:dyDescent="0.3">
      <c r="A141" s="63">
        <v>45684</v>
      </c>
      <c r="B141" s="64" t="s">
        <v>27</v>
      </c>
      <c r="C141" s="62">
        <v>1411</v>
      </c>
      <c r="D141" s="62">
        <v>186</v>
      </c>
      <c r="E141" s="5">
        <v>461669</v>
      </c>
      <c r="F141" s="5">
        <v>3.72</v>
      </c>
      <c r="G141" s="62">
        <v>43999</v>
      </c>
    </row>
    <row r="142" spans="1:7" ht="14.25" customHeight="1" x14ac:dyDescent="0.3">
      <c r="A142" s="63">
        <v>45691</v>
      </c>
      <c r="B142" s="64" t="s">
        <v>33</v>
      </c>
      <c r="C142" s="62">
        <v>1556</v>
      </c>
      <c r="D142" s="62">
        <v>476</v>
      </c>
      <c r="E142" s="5">
        <v>351556</v>
      </c>
      <c r="F142" s="5">
        <v>3.89</v>
      </c>
      <c r="G142" s="62">
        <v>10825</v>
      </c>
    </row>
    <row r="143" spans="1:7" ht="14.25" customHeight="1" x14ac:dyDescent="0.3">
      <c r="A143" s="63">
        <v>45691</v>
      </c>
      <c r="B143" s="64" t="s">
        <v>43</v>
      </c>
      <c r="C143" s="62">
        <v>1159</v>
      </c>
      <c r="D143" s="62">
        <v>411</v>
      </c>
      <c r="E143" s="5">
        <v>135987</v>
      </c>
      <c r="F143" s="5">
        <v>8.6999999999999993</v>
      </c>
      <c r="G143" s="62">
        <v>40323</v>
      </c>
    </row>
    <row r="144" spans="1:7" ht="14.25" customHeight="1" x14ac:dyDescent="0.3">
      <c r="A144" s="63">
        <v>45691</v>
      </c>
      <c r="B144" s="64" t="s">
        <v>14</v>
      </c>
      <c r="C144" s="62">
        <v>927</v>
      </c>
      <c r="D144" s="62">
        <v>358</v>
      </c>
      <c r="E144" s="5">
        <v>177554</v>
      </c>
      <c r="F144" s="5">
        <v>6.95</v>
      </c>
      <c r="G144" s="62">
        <v>48270</v>
      </c>
    </row>
    <row r="145" spans="1:7" ht="14.25" customHeight="1" x14ac:dyDescent="0.3">
      <c r="A145" s="63">
        <v>45691</v>
      </c>
      <c r="B145" s="64" t="s">
        <v>27</v>
      </c>
      <c r="C145" s="62">
        <v>152</v>
      </c>
      <c r="D145" s="62">
        <v>355</v>
      </c>
      <c r="E145" s="5">
        <v>270766</v>
      </c>
      <c r="F145" s="5">
        <v>9.48</v>
      </c>
      <c r="G145" s="62">
        <v>18001</v>
      </c>
    </row>
    <row r="146" spans="1:7" ht="14.25" customHeight="1" x14ac:dyDescent="0.3">
      <c r="A146" s="63">
        <v>45698</v>
      </c>
      <c r="B146" s="64" t="s">
        <v>33</v>
      </c>
      <c r="C146" s="62">
        <v>1957</v>
      </c>
      <c r="D146" s="62">
        <v>234</v>
      </c>
      <c r="E146" s="5">
        <v>222126</v>
      </c>
      <c r="F146" s="5">
        <v>4.6100000000000003</v>
      </c>
      <c r="G146" s="62">
        <v>3314</v>
      </c>
    </row>
    <row r="147" spans="1:7" ht="14.25" customHeight="1" x14ac:dyDescent="0.3">
      <c r="A147" s="63">
        <v>45698</v>
      </c>
      <c r="B147" s="64" t="s">
        <v>43</v>
      </c>
      <c r="C147" s="62">
        <v>1294</v>
      </c>
      <c r="D147" s="62">
        <v>382</v>
      </c>
      <c r="E147" s="5">
        <v>309914</v>
      </c>
      <c r="F147" s="5">
        <v>8.0299999999999994</v>
      </c>
      <c r="G147" s="62">
        <v>23489</v>
      </c>
    </row>
    <row r="148" spans="1:7" ht="14.25" customHeight="1" x14ac:dyDescent="0.3">
      <c r="A148" s="63">
        <v>45698</v>
      </c>
      <c r="B148" s="64" t="s">
        <v>14</v>
      </c>
      <c r="C148" s="62">
        <v>1587</v>
      </c>
      <c r="D148" s="62">
        <v>385</v>
      </c>
      <c r="E148" s="5">
        <v>126582</v>
      </c>
      <c r="F148" s="5">
        <v>6.99</v>
      </c>
      <c r="G148" s="62">
        <v>42832</v>
      </c>
    </row>
    <row r="149" spans="1:7" ht="14.25" customHeight="1" x14ac:dyDescent="0.3">
      <c r="A149" s="63">
        <v>45698</v>
      </c>
      <c r="B149" s="64" t="s">
        <v>27</v>
      </c>
      <c r="C149" s="62">
        <v>1707</v>
      </c>
      <c r="D149" s="62">
        <v>263</v>
      </c>
      <c r="E149" s="5">
        <v>485280</v>
      </c>
      <c r="F149" s="5">
        <v>9.0299999999999994</v>
      </c>
      <c r="G149" s="62">
        <v>24494</v>
      </c>
    </row>
    <row r="150" spans="1:7" ht="14.25" customHeight="1" x14ac:dyDescent="0.3">
      <c r="A150" s="63">
        <v>45705</v>
      </c>
      <c r="B150" s="64" t="s">
        <v>33</v>
      </c>
      <c r="C150" s="62">
        <v>1138</v>
      </c>
      <c r="D150" s="62">
        <v>173</v>
      </c>
      <c r="E150" s="5">
        <v>453243</v>
      </c>
      <c r="F150" s="5">
        <v>2.86</v>
      </c>
      <c r="G150" s="62">
        <v>44097</v>
      </c>
    </row>
    <row r="151" spans="1:7" ht="14.25" customHeight="1" x14ac:dyDescent="0.3">
      <c r="A151" s="63">
        <v>45705</v>
      </c>
      <c r="B151" s="64" t="s">
        <v>43</v>
      </c>
      <c r="C151" s="62">
        <v>1895</v>
      </c>
      <c r="D151" s="62">
        <v>305</v>
      </c>
      <c r="E151" s="5">
        <v>104967</v>
      </c>
      <c r="F151" s="5">
        <v>3.85</v>
      </c>
      <c r="G151" s="62">
        <v>31853</v>
      </c>
    </row>
    <row r="152" spans="1:7" ht="14.25" customHeight="1" x14ac:dyDescent="0.3">
      <c r="A152" s="63">
        <v>45705</v>
      </c>
      <c r="B152" s="64" t="s">
        <v>14</v>
      </c>
      <c r="C152" s="62">
        <v>362</v>
      </c>
      <c r="D152" s="62">
        <v>399</v>
      </c>
      <c r="E152" s="5">
        <v>145608</v>
      </c>
      <c r="F152" s="5">
        <v>7.3</v>
      </c>
      <c r="G152" s="62">
        <v>37636</v>
      </c>
    </row>
    <row r="153" spans="1:7" ht="14.25" customHeight="1" x14ac:dyDescent="0.3">
      <c r="A153" s="63">
        <v>45705</v>
      </c>
      <c r="B153" s="64" t="s">
        <v>27</v>
      </c>
      <c r="C153" s="62">
        <v>1662</v>
      </c>
      <c r="D153" s="62">
        <v>487</v>
      </c>
      <c r="E153" s="5">
        <v>105980</v>
      </c>
      <c r="F153" s="5">
        <v>9.08</v>
      </c>
      <c r="G153" s="62">
        <v>22996</v>
      </c>
    </row>
    <row r="154" spans="1:7" ht="14.25" customHeight="1" x14ac:dyDescent="0.3">
      <c r="A154" s="63">
        <v>45712</v>
      </c>
      <c r="B154" s="64" t="s">
        <v>33</v>
      </c>
      <c r="C154" s="62">
        <v>1440</v>
      </c>
      <c r="D154" s="62">
        <v>65</v>
      </c>
      <c r="E154" s="5">
        <v>126524</v>
      </c>
      <c r="F154" s="5">
        <v>4.34</v>
      </c>
      <c r="G154" s="62">
        <v>49772</v>
      </c>
    </row>
    <row r="155" spans="1:7" ht="14.25" customHeight="1" x14ac:dyDescent="0.3">
      <c r="A155" s="63">
        <v>45712</v>
      </c>
      <c r="B155" s="64" t="s">
        <v>43</v>
      </c>
      <c r="C155" s="62">
        <v>1884</v>
      </c>
      <c r="D155" s="62">
        <v>177</v>
      </c>
      <c r="E155" s="5">
        <v>230448</v>
      </c>
      <c r="F155" s="5">
        <v>7.8</v>
      </c>
      <c r="G155" s="62">
        <v>22713</v>
      </c>
    </row>
    <row r="156" spans="1:7" ht="14.25" customHeight="1" x14ac:dyDescent="0.3">
      <c r="A156" s="63">
        <v>45712</v>
      </c>
      <c r="B156" s="64" t="s">
        <v>14</v>
      </c>
      <c r="C156" s="62">
        <v>861</v>
      </c>
      <c r="D156" s="62">
        <v>153</v>
      </c>
      <c r="E156" s="5">
        <v>317007</v>
      </c>
      <c r="F156" s="5">
        <v>3.85</v>
      </c>
      <c r="G156" s="62">
        <v>8718</v>
      </c>
    </row>
    <row r="157" spans="1:7" ht="14.25" customHeight="1" x14ac:dyDescent="0.3">
      <c r="A157" s="63">
        <v>45712</v>
      </c>
      <c r="B157" s="64" t="s">
        <v>27</v>
      </c>
      <c r="C157" s="62">
        <v>1063</v>
      </c>
      <c r="D157" s="62">
        <v>47</v>
      </c>
      <c r="E157" s="5">
        <v>464239</v>
      </c>
      <c r="F157" s="5">
        <v>6.58</v>
      </c>
      <c r="G157" s="62">
        <v>39031</v>
      </c>
    </row>
    <row r="158" spans="1:7" ht="14.25" customHeight="1" x14ac:dyDescent="0.3">
      <c r="A158" s="63">
        <v>45719</v>
      </c>
      <c r="B158" s="64" t="s">
        <v>33</v>
      </c>
      <c r="C158" s="62">
        <v>1371</v>
      </c>
      <c r="D158" s="62">
        <v>56</v>
      </c>
      <c r="E158" s="5">
        <v>257579</v>
      </c>
      <c r="F158" s="5">
        <v>8.6199999999999992</v>
      </c>
      <c r="G158" s="62">
        <v>33799</v>
      </c>
    </row>
    <row r="159" spans="1:7" ht="14.25" customHeight="1" x14ac:dyDescent="0.3">
      <c r="A159" s="63">
        <v>45719</v>
      </c>
      <c r="B159" s="64" t="s">
        <v>43</v>
      </c>
      <c r="C159" s="62">
        <v>345</v>
      </c>
      <c r="D159" s="62">
        <v>464</v>
      </c>
      <c r="E159" s="5">
        <v>366881</v>
      </c>
      <c r="F159" s="5">
        <v>4.55</v>
      </c>
      <c r="G159" s="62">
        <v>20553</v>
      </c>
    </row>
    <row r="160" spans="1:7" ht="14.25" customHeight="1" x14ac:dyDescent="0.3">
      <c r="A160" s="63">
        <v>45719</v>
      </c>
      <c r="B160" s="64" t="s">
        <v>14</v>
      </c>
      <c r="C160" s="62">
        <v>946</v>
      </c>
      <c r="D160" s="62">
        <v>47</v>
      </c>
      <c r="E160" s="5">
        <v>466575</v>
      </c>
      <c r="F160" s="5">
        <v>8.33</v>
      </c>
      <c r="G160" s="62">
        <v>10002</v>
      </c>
    </row>
    <row r="161" spans="1:7" ht="14.25" customHeight="1" x14ac:dyDescent="0.3">
      <c r="A161" s="63">
        <v>45719</v>
      </c>
      <c r="B161" s="64" t="s">
        <v>27</v>
      </c>
      <c r="C161" s="62">
        <v>510</v>
      </c>
      <c r="D161" s="62">
        <v>195</v>
      </c>
      <c r="E161" s="5">
        <v>224534</v>
      </c>
      <c r="F161" s="5">
        <v>9.4</v>
      </c>
      <c r="G161" s="62">
        <v>30987</v>
      </c>
    </row>
    <row r="162" spans="1:7" ht="14.25" customHeight="1" x14ac:dyDescent="0.3">
      <c r="A162" s="63">
        <v>45726</v>
      </c>
      <c r="B162" s="64" t="s">
        <v>33</v>
      </c>
      <c r="C162" s="62">
        <v>393</v>
      </c>
      <c r="D162" s="62">
        <v>181</v>
      </c>
      <c r="E162" s="5">
        <v>462142</v>
      </c>
      <c r="F162" s="5">
        <v>7.23</v>
      </c>
      <c r="G162" s="62">
        <v>6296</v>
      </c>
    </row>
    <row r="163" spans="1:7" ht="14.25" customHeight="1" x14ac:dyDescent="0.3">
      <c r="A163" s="63">
        <v>45726</v>
      </c>
      <c r="B163" s="64" t="s">
        <v>43</v>
      </c>
      <c r="C163" s="62">
        <v>1098</v>
      </c>
      <c r="D163" s="62">
        <v>190</v>
      </c>
      <c r="E163" s="5">
        <v>340842</v>
      </c>
      <c r="F163" s="5">
        <v>9.39</v>
      </c>
      <c r="G163" s="62">
        <v>21539</v>
      </c>
    </row>
    <row r="164" spans="1:7" ht="14.25" customHeight="1" x14ac:dyDescent="0.3">
      <c r="A164" s="63">
        <v>45726</v>
      </c>
      <c r="B164" s="64" t="s">
        <v>14</v>
      </c>
      <c r="C164" s="62">
        <v>1399</v>
      </c>
      <c r="D164" s="62">
        <v>49</v>
      </c>
      <c r="E164" s="5">
        <v>12471</v>
      </c>
      <c r="F164" s="5">
        <v>5.12</v>
      </c>
      <c r="G164" s="62">
        <v>14722</v>
      </c>
    </row>
    <row r="165" spans="1:7" ht="14.25" customHeight="1" x14ac:dyDescent="0.3">
      <c r="A165" s="63">
        <v>45726</v>
      </c>
      <c r="B165" s="64" t="s">
        <v>27</v>
      </c>
      <c r="C165" s="62">
        <v>1658</v>
      </c>
      <c r="D165" s="62">
        <v>416</v>
      </c>
      <c r="E165" s="5">
        <v>98397</v>
      </c>
      <c r="F165" s="5">
        <v>6.11</v>
      </c>
      <c r="G165" s="62">
        <v>11383</v>
      </c>
    </row>
    <row r="166" spans="1:7" ht="14.25" customHeight="1" x14ac:dyDescent="0.3">
      <c r="A166" s="63">
        <v>45733</v>
      </c>
      <c r="B166" s="64" t="s">
        <v>33</v>
      </c>
      <c r="C166" s="62">
        <v>1102</v>
      </c>
      <c r="D166" s="62">
        <v>422</v>
      </c>
      <c r="E166" s="5">
        <v>410330</v>
      </c>
      <c r="F166" s="5">
        <v>7.74</v>
      </c>
      <c r="G166" s="62">
        <v>9480</v>
      </c>
    </row>
    <row r="167" spans="1:7" ht="14.25" customHeight="1" x14ac:dyDescent="0.3">
      <c r="A167" s="63">
        <v>45733</v>
      </c>
      <c r="B167" s="64" t="s">
        <v>43</v>
      </c>
      <c r="C167" s="62">
        <v>1358</v>
      </c>
      <c r="D167" s="62">
        <v>242</v>
      </c>
      <c r="E167" s="5">
        <v>342129</v>
      </c>
      <c r="F167" s="5">
        <v>4.9400000000000004</v>
      </c>
      <c r="G167" s="62">
        <v>29116</v>
      </c>
    </row>
    <row r="168" spans="1:7" ht="14.25" customHeight="1" x14ac:dyDescent="0.3">
      <c r="A168" s="63">
        <v>45733</v>
      </c>
      <c r="B168" s="64" t="s">
        <v>14</v>
      </c>
      <c r="C168" s="62">
        <v>1077</v>
      </c>
      <c r="D168" s="62">
        <v>216</v>
      </c>
      <c r="E168" s="5">
        <v>12447</v>
      </c>
      <c r="F168" s="5">
        <v>1.8</v>
      </c>
      <c r="G168" s="62">
        <v>14068</v>
      </c>
    </row>
    <row r="169" spans="1:7" ht="14.25" customHeight="1" x14ac:dyDescent="0.3">
      <c r="A169" s="63">
        <v>45733</v>
      </c>
      <c r="B169" s="64" t="s">
        <v>27</v>
      </c>
      <c r="C169" s="62">
        <v>1596</v>
      </c>
      <c r="D169" s="62">
        <v>211</v>
      </c>
      <c r="E169" s="5">
        <v>17380</v>
      </c>
      <c r="F169" s="5">
        <v>8.64</v>
      </c>
      <c r="G169" s="62">
        <v>35801</v>
      </c>
    </row>
    <row r="170" spans="1:7" ht="14.25" customHeight="1" x14ac:dyDescent="0.3">
      <c r="A170" s="63">
        <v>45740</v>
      </c>
      <c r="B170" s="64" t="s">
        <v>33</v>
      </c>
      <c r="C170" s="62">
        <v>490</v>
      </c>
      <c r="D170" s="62">
        <v>29</v>
      </c>
      <c r="E170" s="5">
        <v>364810</v>
      </c>
      <c r="F170" s="5">
        <v>1.53</v>
      </c>
      <c r="G170" s="62">
        <v>49077</v>
      </c>
    </row>
    <row r="171" spans="1:7" ht="14.25" customHeight="1" x14ac:dyDescent="0.3">
      <c r="A171" s="63">
        <v>45740</v>
      </c>
      <c r="B171" s="64" t="s">
        <v>43</v>
      </c>
      <c r="C171" s="62">
        <v>609</v>
      </c>
      <c r="D171" s="62">
        <v>135</v>
      </c>
      <c r="E171" s="5">
        <v>373606</v>
      </c>
      <c r="F171" s="5">
        <v>8.52</v>
      </c>
      <c r="G171" s="62">
        <v>21453</v>
      </c>
    </row>
    <row r="172" spans="1:7" ht="14.25" customHeight="1" x14ac:dyDescent="0.3">
      <c r="A172" s="63">
        <v>45740</v>
      </c>
      <c r="B172" s="64" t="s">
        <v>14</v>
      </c>
      <c r="C172" s="62">
        <v>364</v>
      </c>
      <c r="D172" s="62">
        <v>72</v>
      </c>
      <c r="E172" s="5">
        <v>211090</v>
      </c>
      <c r="F172" s="5">
        <v>5.53</v>
      </c>
      <c r="G172" s="62">
        <v>21061</v>
      </c>
    </row>
    <row r="173" spans="1:7" ht="14.25" customHeight="1" x14ac:dyDescent="0.3">
      <c r="A173" s="63">
        <v>45740</v>
      </c>
      <c r="B173" s="64" t="s">
        <v>27</v>
      </c>
      <c r="C173" s="62">
        <v>442</v>
      </c>
      <c r="D173" s="62">
        <v>53</v>
      </c>
      <c r="E173" s="5">
        <v>441931</v>
      </c>
      <c r="F173" s="5">
        <v>1.87</v>
      </c>
      <c r="G173" s="62">
        <v>20059</v>
      </c>
    </row>
    <row r="174" spans="1:7" ht="14.25" customHeight="1" x14ac:dyDescent="0.3">
      <c r="A174" s="63">
        <v>45747</v>
      </c>
      <c r="B174" s="64" t="s">
        <v>33</v>
      </c>
      <c r="C174" s="62">
        <v>1033</v>
      </c>
      <c r="D174" s="62">
        <v>392</v>
      </c>
      <c r="E174" s="5">
        <v>282780</v>
      </c>
      <c r="F174" s="5">
        <v>6.27</v>
      </c>
      <c r="G174" s="62">
        <v>23140</v>
      </c>
    </row>
    <row r="175" spans="1:7" ht="14.25" customHeight="1" x14ac:dyDescent="0.3">
      <c r="A175" s="63">
        <v>45747</v>
      </c>
      <c r="B175" s="64" t="s">
        <v>43</v>
      </c>
      <c r="C175" s="62">
        <v>988</v>
      </c>
      <c r="D175" s="62">
        <v>474</v>
      </c>
      <c r="E175" s="5">
        <v>370070</v>
      </c>
      <c r="F175" s="5">
        <v>9.4600000000000009</v>
      </c>
      <c r="G175" s="62">
        <v>23461</v>
      </c>
    </row>
    <row r="176" spans="1:7" ht="14.25" customHeight="1" x14ac:dyDescent="0.3">
      <c r="A176" s="63">
        <v>45747</v>
      </c>
      <c r="B176" s="64" t="s">
        <v>14</v>
      </c>
      <c r="C176" s="62">
        <v>1946</v>
      </c>
      <c r="D176" s="62">
        <v>270</v>
      </c>
      <c r="E176" s="5">
        <v>198350</v>
      </c>
      <c r="F176" s="5">
        <v>7.5</v>
      </c>
      <c r="G176" s="62">
        <v>11805</v>
      </c>
    </row>
    <row r="177" spans="1:7" ht="14.25" customHeight="1" x14ac:dyDescent="0.3">
      <c r="A177" s="63">
        <v>45747</v>
      </c>
      <c r="B177" s="64" t="s">
        <v>27</v>
      </c>
      <c r="C177" s="62">
        <v>1957</v>
      </c>
      <c r="D177" s="62">
        <v>490</v>
      </c>
      <c r="E177" s="5">
        <v>435726</v>
      </c>
      <c r="F177" s="5">
        <v>4.7300000000000004</v>
      </c>
      <c r="G177" s="62">
        <v>15969</v>
      </c>
    </row>
    <row r="178" spans="1:7" ht="14.25" customHeight="1" x14ac:dyDescent="0.3">
      <c r="A178" s="63">
        <v>45754</v>
      </c>
      <c r="B178" s="64" t="s">
        <v>33</v>
      </c>
      <c r="C178" s="62">
        <v>559</v>
      </c>
      <c r="D178" s="62">
        <v>392</v>
      </c>
      <c r="E178" s="5">
        <v>78789</v>
      </c>
      <c r="F178" s="5">
        <v>3.19</v>
      </c>
      <c r="G178" s="62">
        <v>2436</v>
      </c>
    </row>
    <row r="179" spans="1:7" ht="14.25" customHeight="1" x14ac:dyDescent="0.3">
      <c r="A179" s="63">
        <v>45754</v>
      </c>
      <c r="B179" s="64" t="s">
        <v>43</v>
      </c>
      <c r="C179" s="62">
        <v>1307</v>
      </c>
      <c r="D179" s="62">
        <v>278</v>
      </c>
      <c r="E179" s="5">
        <v>98596</v>
      </c>
      <c r="F179" s="5">
        <v>2.4900000000000002</v>
      </c>
      <c r="G179" s="62">
        <v>47603</v>
      </c>
    </row>
    <row r="180" spans="1:7" ht="14.25" customHeight="1" x14ac:dyDescent="0.3">
      <c r="A180" s="63">
        <v>45754</v>
      </c>
      <c r="B180" s="64" t="s">
        <v>14</v>
      </c>
      <c r="C180" s="62">
        <v>1432</v>
      </c>
      <c r="D180" s="62">
        <v>425</v>
      </c>
      <c r="E180" s="5">
        <v>29589</v>
      </c>
      <c r="F180" s="5">
        <v>4.5</v>
      </c>
      <c r="G180" s="62">
        <v>42964</v>
      </c>
    </row>
    <row r="181" spans="1:7" ht="14.25" customHeight="1" x14ac:dyDescent="0.3">
      <c r="A181" s="63">
        <v>45754</v>
      </c>
      <c r="B181" s="64" t="s">
        <v>27</v>
      </c>
      <c r="C181" s="62">
        <v>623</v>
      </c>
      <c r="D181" s="62">
        <v>414</v>
      </c>
      <c r="E181" s="5">
        <v>290354</v>
      </c>
      <c r="F181" s="5">
        <v>6.49</v>
      </c>
      <c r="G181" s="62">
        <v>39923</v>
      </c>
    </row>
    <row r="182" spans="1:7" ht="14.25" customHeight="1" x14ac:dyDescent="0.3">
      <c r="A182" s="63">
        <v>45761</v>
      </c>
      <c r="B182" s="64" t="s">
        <v>33</v>
      </c>
      <c r="C182" s="62">
        <v>198</v>
      </c>
      <c r="D182" s="62">
        <v>358</v>
      </c>
      <c r="E182" s="5">
        <v>66682</v>
      </c>
      <c r="F182" s="5">
        <v>6.73</v>
      </c>
      <c r="G182" s="62">
        <v>2293</v>
      </c>
    </row>
    <row r="183" spans="1:7" ht="14.25" customHeight="1" x14ac:dyDescent="0.3">
      <c r="A183" s="63">
        <v>45761</v>
      </c>
      <c r="B183" s="64" t="s">
        <v>43</v>
      </c>
      <c r="C183" s="62">
        <v>198</v>
      </c>
      <c r="D183" s="62">
        <v>373</v>
      </c>
      <c r="E183" s="5">
        <v>70707</v>
      </c>
      <c r="F183" s="5">
        <v>4.83</v>
      </c>
      <c r="G183" s="62">
        <v>25920</v>
      </c>
    </row>
    <row r="184" spans="1:7" ht="14.25" customHeight="1" x14ac:dyDescent="0.3">
      <c r="A184" s="63">
        <v>45761</v>
      </c>
      <c r="B184" s="64" t="s">
        <v>14</v>
      </c>
      <c r="C184" s="62">
        <v>353</v>
      </c>
      <c r="D184" s="62">
        <v>300</v>
      </c>
      <c r="E184" s="5">
        <v>142507</v>
      </c>
      <c r="F184" s="5">
        <v>5.3</v>
      </c>
      <c r="G184" s="62">
        <v>11035</v>
      </c>
    </row>
    <row r="185" spans="1:7" ht="14.25" customHeight="1" x14ac:dyDescent="0.3">
      <c r="A185" s="63">
        <v>45761</v>
      </c>
      <c r="B185" s="64" t="s">
        <v>27</v>
      </c>
      <c r="C185" s="62">
        <v>520</v>
      </c>
      <c r="D185" s="62">
        <v>375</v>
      </c>
      <c r="E185" s="5">
        <v>369525</v>
      </c>
      <c r="F185" s="5">
        <v>6.54</v>
      </c>
      <c r="G185" s="62">
        <v>20733</v>
      </c>
    </row>
    <row r="186" spans="1:7" ht="14.25" customHeight="1" x14ac:dyDescent="0.3">
      <c r="A186" s="63">
        <v>45768</v>
      </c>
      <c r="B186" s="64" t="s">
        <v>33</v>
      </c>
      <c r="C186" s="62">
        <v>961</v>
      </c>
      <c r="D186" s="62">
        <v>358</v>
      </c>
      <c r="E186" s="5">
        <v>62942</v>
      </c>
      <c r="F186" s="5">
        <v>6.8</v>
      </c>
      <c r="G186" s="62">
        <v>18693</v>
      </c>
    </row>
    <row r="187" spans="1:7" ht="14.25" customHeight="1" x14ac:dyDescent="0.3">
      <c r="A187" s="63">
        <v>45768</v>
      </c>
      <c r="B187" s="64" t="s">
        <v>43</v>
      </c>
      <c r="C187" s="62">
        <v>1375</v>
      </c>
      <c r="D187" s="62">
        <v>330</v>
      </c>
      <c r="E187" s="5">
        <v>377382</v>
      </c>
      <c r="F187" s="5">
        <v>2.6</v>
      </c>
      <c r="G187" s="62">
        <v>7875</v>
      </c>
    </row>
    <row r="188" spans="1:7" ht="14.25" customHeight="1" x14ac:dyDescent="0.3">
      <c r="A188" s="63">
        <v>45768</v>
      </c>
      <c r="B188" s="64" t="s">
        <v>14</v>
      </c>
      <c r="C188" s="62">
        <v>1147</v>
      </c>
      <c r="D188" s="62">
        <v>388</v>
      </c>
      <c r="E188" s="5">
        <v>333851</v>
      </c>
      <c r="F188" s="5">
        <v>2.44</v>
      </c>
      <c r="G188" s="62">
        <v>8471</v>
      </c>
    </row>
    <row r="189" spans="1:7" ht="14.25" customHeight="1" x14ac:dyDescent="0.3">
      <c r="A189" s="63">
        <v>45768</v>
      </c>
      <c r="B189" s="64" t="s">
        <v>27</v>
      </c>
      <c r="C189" s="62">
        <v>1707</v>
      </c>
      <c r="D189" s="62">
        <v>74</v>
      </c>
      <c r="E189" s="5">
        <v>270958</v>
      </c>
      <c r="F189" s="5">
        <v>3.09</v>
      </c>
      <c r="G189" s="62">
        <v>14090</v>
      </c>
    </row>
    <row r="190" spans="1:7" ht="14.25" customHeight="1" x14ac:dyDescent="0.3">
      <c r="A190" s="63">
        <v>45775</v>
      </c>
      <c r="B190" s="64" t="s">
        <v>33</v>
      </c>
      <c r="C190" s="62">
        <v>1693</v>
      </c>
      <c r="D190" s="62">
        <v>154</v>
      </c>
      <c r="E190" s="5">
        <v>445944</v>
      </c>
      <c r="F190" s="5">
        <v>5.69</v>
      </c>
      <c r="G190" s="62">
        <v>14216</v>
      </c>
    </row>
    <row r="191" spans="1:7" ht="14.25" customHeight="1" x14ac:dyDescent="0.3">
      <c r="A191" s="63">
        <v>45775</v>
      </c>
      <c r="B191" s="64" t="s">
        <v>43</v>
      </c>
      <c r="C191" s="62">
        <v>833</v>
      </c>
      <c r="D191" s="62">
        <v>380</v>
      </c>
      <c r="E191" s="5">
        <v>224830</v>
      </c>
      <c r="F191" s="5">
        <v>3.86</v>
      </c>
      <c r="G191" s="62">
        <v>3582</v>
      </c>
    </row>
    <row r="192" spans="1:7" ht="14.25" customHeight="1" x14ac:dyDescent="0.3">
      <c r="A192" s="63">
        <v>45775</v>
      </c>
      <c r="B192" s="64" t="s">
        <v>14</v>
      </c>
      <c r="C192" s="62">
        <v>1222</v>
      </c>
      <c r="D192" s="62">
        <v>274</v>
      </c>
      <c r="E192" s="5">
        <v>487289</v>
      </c>
      <c r="F192" s="5">
        <v>3.16</v>
      </c>
      <c r="G192" s="62">
        <v>32500</v>
      </c>
    </row>
    <row r="193" spans="1:7" ht="14.25" customHeight="1" x14ac:dyDescent="0.3">
      <c r="A193" s="63">
        <v>45775</v>
      </c>
      <c r="B193" s="64" t="s">
        <v>27</v>
      </c>
      <c r="C193" s="62">
        <v>777</v>
      </c>
      <c r="D193" s="62">
        <v>140</v>
      </c>
      <c r="E193" s="5">
        <v>11435</v>
      </c>
      <c r="F193" s="5">
        <v>1.6</v>
      </c>
      <c r="G193" s="62">
        <v>6832</v>
      </c>
    </row>
    <row r="194" spans="1:7" ht="14.25" customHeight="1" x14ac:dyDescent="0.3">
      <c r="A194" s="63">
        <v>45782</v>
      </c>
      <c r="B194" s="64" t="s">
        <v>33</v>
      </c>
      <c r="C194" s="62">
        <v>1957</v>
      </c>
      <c r="D194" s="62">
        <v>76</v>
      </c>
      <c r="E194" s="5">
        <v>447902</v>
      </c>
      <c r="F194" s="5">
        <v>6.09</v>
      </c>
      <c r="G194" s="62">
        <v>33381</v>
      </c>
    </row>
    <row r="195" spans="1:7" ht="14.25" customHeight="1" x14ac:dyDescent="0.3">
      <c r="A195" s="63">
        <v>45782</v>
      </c>
      <c r="B195" s="64" t="s">
        <v>43</v>
      </c>
      <c r="C195" s="62">
        <v>405</v>
      </c>
      <c r="D195" s="62">
        <v>66</v>
      </c>
      <c r="E195" s="5">
        <v>418696</v>
      </c>
      <c r="F195" s="5">
        <v>5.59</v>
      </c>
      <c r="G195" s="62">
        <v>48419</v>
      </c>
    </row>
    <row r="196" spans="1:7" ht="14.25" customHeight="1" x14ac:dyDescent="0.3">
      <c r="A196" s="63">
        <v>45782</v>
      </c>
      <c r="B196" s="64" t="s">
        <v>14</v>
      </c>
      <c r="C196" s="62">
        <v>1581</v>
      </c>
      <c r="D196" s="62">
        <v>71</v>
      </c>
      <c r="E196" s="5">
        <v>484364</v>
      </c>
      <c r="F196" s="5">
        <v>3.55</v>
      </c>
      <c r="G196" s="62">
        <v>16149</v>
      </c>
    </row>
    <row r="197" spans="1:7" ht="14.25" customHeight="1" x14ac:dyDescent="0.3">
      <c r="A197" s="63">
        <v>45782</v>
      </c>
      <c r="B197" s="64" t="s">
        <v>27</v>
      </c>
      <c r="C197" s="62">
        <v>1035</v>
      </c>
      <c r="D197" s="62">
        <v>171</v>
      </c>
      <c r="E197" s="5">
        <v>148477</v>
      </c>
      <c r="F197" s="5">
        <v>5.21</v>
      </c>
      <c r="G197" s="62">
        <v>7541</v>
      </c>
    </row>
    <row r="198" spans="1:7" ht="14.25" customHeight="1" x14ac:dyDescent="0.3">
      <c r="A198" s="63">
        <v>45789</v>
      </c>
      <c r="B198" s="64" t="s">
        <v>33</v>
      </c>
      <c r="C198" s="62">
        <v>1765</v>
      </c>
      <c r="D198" s="62">
        <v>109</v>
      </c>
      <c r="E198" s="5">
        <v>468301</v>
      </c>
      <c r="F198" s="5">
        <v>1.82</v>
      </c>
      <c r="G198" s="62">
        <v>20042</v>
      </c>
    </row>
    <row r="199" spans="1:7" ht="14.25" customHeight="1" x14ac:dyDescent="0.3">
      <c r="A199" s="63">
        <v>45789</v>
      </c>
      <c r="B199" s="64" t="s">
        <v>43</v>
      </c>
      <c r="C199" s="62">
        <v>837</v>
      </c>
      <c r="D199" s="62">
        <v>430</v>
      </c>
      <c r="E199" s="5">
        <v>364820</v>
      </c>
      <c r="F199" s="5">
        <v>4</v>
      </c>
      <c r="G199" s="62">
        <v>49400</v>
      </c>
    </row>
    <row r="200" spans="1:7" ht="14.25" customHeight="1" x14ac:dyDescent="0.3">
      <c r="A200" s="63">
        <v>45789</v>
      </c>
      <c r="B200" s="64" t="s">
        <v>14</v>
      </c>
      <c r="C200" s="62">
        <v>337</v>
      </c>
      <c r="D200" s="62">
        <v>68</v>
      </c>
      <c r="E200" s="5">
        <v>456298</v>
      </c>
      <c r="F200" s="5">
        <v>7.57</v>
      </c>
      <c r="G200" s="62">
        <v>4007</v>
      </c>
    </row>
    <row r="201" spans="1:7" ht="14.25" customHeight="1" x14ac:dyDescent="0.3">
      <c r="A201" s="63">
        <v>45789</v>
      </c>
      <c r="B201" s="64" t="s">
        <v>27</v>
      </c>
      <c r="C201" s="62">
        <v>119</v>
      </c>
      <c r="D201" s="62">
        <v>456</v>
      </c>
      <c r="E201" s="5">
        <v>82558</v>
      </c>
      <c r="F201" s="5">
        <v>6.81</v>
      </c>
      <c r="G201" s="62">
        <v>12174</v>
      </c>
    </row>
    <row r="202" spans="1:7" ht="14.25" customHeight="1" x14ac:dyDescent="0.3"/>
    <row r="203" spans="1:7" ht="14.25" customHeight="1" x14ac:dyDescent="0.3"/>
    <row r="204" spans="1:7" ht="14.25" customHeight="1" x14ac:dyDescent="0.3"/>
    <row r="205" spans="1:7" ht="14.25" customHeight="1" x14ac:dyDescent="0.3"/>
    <row r="206" spans="1:7" ht="14.25" customHeight="1" x14ac:dyDescent="0.3"/>
    <row r="207" spans="1:7" ht="14.25" customHeight="1" x14ac:dyDescent="0.3"/>
    <row r="208" spans="1:7"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election activeCell="D16" sqref="D16"/>
    </sheetView>
  </sheetViews>
  <sheetFormatPr defaultColWidth="14.44140625" defaultRowHeight="15" customHeight="1" x14ac:dyDescent="0.3"/>
  <cols>
    <col min="1" max="6" width="17.6640625" customWidth="1"/>
    <col min="7" max="7" width="18" customWidth="1"/>
    <col min="8" max="26" width="17.6640625" customWidth="1"/>
  </cols>
  <sheetData>
    <row r="1" spans="1:8" ht="14.25" customHeight="1" x14ac:dyDescent="0.3">
      <c r="A1" s="75" t="s">
        <v>12</v>
      </c>
      <c r="B1" s="76" t="s">
        <v>572</v>
      </c>
      <c r="C1" s="77" t="s">
        <v>573</v>
      </c>
      <c r="D1" s="78" t="s">
        <v>574</v>
      </c>
      <c r="E1" s="79" t="s">
        <v>575</v>
      </c>
      <c r="F1" s="78" t="s">
        <v>576</v>
      </c>
      <c r="G1" s="80" t="s">
        <v>577</v>
      </c>
      <c r="H1" s="5"/>
    </row>
    <row r="2" spans="1:8" ht="14.25" customHeight="1" x14ac:dyDescent="0.3">
      <c r="A2" s="73" t="s">
        <v>19</v>
      </c>
      <c r="B2" s="65">
        <v>45458</v>
      </c>
      <c r="C2" s="66">
        <v>45488</v>
      </c>
      <c r="D2" s="6" t="s">
        <v>579</v>
      </c>
      <c r="E2" s="7">
        <v>150000</v>
      </c>
      <c r="F2" s="6" t="s">
        <v>580</v>
      </c>
      <c r="G2" s="74" t="s">
        <v>41</v>
      </c>
    </row>
    <row r="3" spans="1:8" ht="14.25" customHeight="1" x14ac:dyDescent="0.3">
      <c r="A3" s="73" t="s">
        <v>25</v>
      </c>
      <c r="B3" s="65">
        <v>45566</v>
      </c>
      <c r="C3" s="66">
        <v>45596</v>
      </c>
      <c r="D3" s="6" t="s">
        <v>582</v>
      </c>
      <c r="E3" s="7">
        <v>200000</v>
      </c>
      <c r="F3" s="6" t="s">
        <v>583</v>
      </c>
      <c r="G3" s="74" t="s">
        <v>584</v>
      </c>
    </row>
    <row r="4" spans="1:8" ht="14.25" customHeight="1" x14ac:dyDescent="0.3">
      <c r="A4" s="73" t="s">
        <v>31</v>
      </c>
      <c r="B4" s="65">
        <v>45651</v>
      </c>
      <c r="C4" s="66">
        <v>45667</v>
      </c>
      <c r="D4" s="6" t="s">
        <v>586</v>
      </c>
      <c r="E4" s="7">
        <v>250000</v>
      </c>
      <c r="F4" s="6" t="s">
        <v>587</v>
      </c>
      <c r="G4" s="74" t="s">
        <v>588</v>
      </c>
    </row>
    <row r="5" spans="1:8" ht="14.25" customHeight="1" x14ac:dyDescent="0.3">
      <c r="A5" s="81" t="s">
        <v>38</v>
      </c>
      <c r="B5" s="82">
        <v>45717</v>
      </c>
      <c r="C5" s="83">
        <v>45747</v>
      </c>
      <c r="D5" s="84" t="s">
        <v>590</v>
      </c>
      <c r="E5" s="85">
        <v>180000</v>
      </c>
      <c r="F5" s="84" t="s">
        <v>591</v>
      </c>
      <c r="G5" s="86" t="s">
        <v>592</v>
      </c>
    </row>
    <row r="6" spans="1:8" ht="14.25" customHeight="1" x14ac:dyDescent="0.3">
      <c r="B6" s="8"/>
      <c r="E6" s="8"/>
      <c r="G6" s="8"/>
    </row>
    <row r="7" spans="1:8" ht="14.25" customHeight="1" x14ac:dyDescent="0.3">
      <c r="B7" s="8"/>
      <c r="E7" s="8"/>
      <c r="G7" s="8"/>
    </row>
    <row r="8" spans="1:8" ht="14.25" customHeight="1" x14ac:dyDescent="0.3">
      <c r="B8" s="8"/>
      <c r="E8" s="8"/>
      <c r="G8" s="8"/>
    </row>
    <row r="9" spans="1:8" ht="14.25" customHeight="1" x14ac:dyDescent="0.3">
      <c r="B9" s="8"/>
      <c r="E9" s="8"/>
      <c r="G9" s="8"/>
    </row>
    <row r="10" spans="1:8" ht="14.25" customHeight="1" x14ac:dyDescent="0.3">
      <c r="B10" s="8"/>
      <c r="E10" s="8"/>
      <c r="G10" s="8"/>
    </row>
    <row r="11" spans="1:8" ht="14.25" customHeight="1" x14ac:dyDescent="0.3">
      <c r="B11" s="8"/>
      <c r="E11" s="8"/>
      <c r="G11" s="8"/>
    </row>
    <row r="12" spans="1:8" ht="14.25" customHeight="1" x14ac:dyDescent="0.3">
      <c r="B12" s="8"/>
      <c r="E12" s="8"/>
      <c r="G12" s="8"/>
    </row>
    <row r="13" spans="1:8" ht="14.25" customHeight="1" x14ac:dyDescent="0.3">
      <c r="B13" s="8"/>
      <c r="E13" s="8"/>
      <c r="G13" s="8"/>
    </row>
    <row r="14" spans="1:8" ht="14.25" customHeight="1" x14ac:dyDescent="0.3">
      <c r="B14" s="8"/>
      <c r="E14" s="8"/>
      <c r="G14" s="8"/>
    </row>
    <row r="15" spans="1:8" ht="14.25" customHeight="1" x14ac:dyDescent="0.3">
      <c r="B15" s="8"/>
      <c r="E15" s="8"/>
      <c r="G15" s="8"/>
    </row>
    <row r="16" spans="1:8" ht="14.25" customHeight="1" x14ac:dyDescent="0.3">
      <c r="B16" s="8"/>
      <c r="E16" s="8"/>
      <c r="G16" s="8"/>
    </row>
    <row r="17" spans="2:7" ht="14.25" customHeight="1" x14ac:dyDescent="0.3">
      <c r="B17" s="8"/>
      <c r="E17" s="8"/>
      <c r="G17" s="8"/>
    </row>
    <row r="18" spans="2:7" ht="14.25" customHeight="1" x14ac:dyDescent="0.3">
      <c r="B18" s="8"/>
      <c r="E18" s="8"/>
      <c r="G18" s="8"/>
    </row>
    <row r="19" spans="2:7" ht="14.25" customHeight="1" x14ac:dyDescent="0.3">
      <c r="B19" s="8"/>
      <c r="E19" s="8"/>
      <c r="G19" s="8"/>
    </row>
    <row r="20" spans="2:7" ht="14.25" customHeight="1" x14ac:dyDescent="0.3">
      <c r="B20" s="8"/>
      <c r="E20" s="8"/>
      <c r="G20" s="8"/>
    </row>
    <row r="21" spans="2:7" ht="14.25" customHeight="1" x14ac:dyDescent="0.3">
      <c r="B21" s="8"/>
      <c r="E21" s="8"/>
      <c r="G21" s="8"/>
    </row>
    <row r="22" spans="2:7" ht="14.25" customHeight="1" x14ac:dyDescent="0.3">
      <c r="B22" s="8"/>
      <c r="E22" s="8"/>
      <c r="G22" s="8"/>
    </row>
    <row r="23" spans="2:7" ht="14.25" customHeight="1" x14ac:dyDescent="0.3">
      <c r="B23" s="8"/>
      <c r="E23" s="8"/>
      <c r="G23" s="8"/>
    </row>
    <row r="24" spans="2:7" ht="14.25" customHeight="1" x14ac:dyDescent="0.3">
      <c r="B24" s="8"/>
      <c r="E24" s="8"/>
      <c r="G24" s="8"/>
    </row>
    <row r="25" spans="2:7" ht="14.25" customHeight="1" x14ac:dyDescent="0.3">
      <c r="B25" s="8"/>
      <c r="E25" s="8"/>
      <c r="G25" s="8"/>
    </row>
    <row r="26" spans="2:7" ht="14.25" customHeight="1" x14ac:dyDescent="0.3">
      <c r="B26" s="8"/>
      <c r="E26" s="8"/>
      <c r="G26" s="8"/>
    </row>
    <row r="27" spans="2:7" ht="14.25" customHeight="1" x14ac:dyDescent="0.3">
      <c r="B27" s="8"/>
      <c r="E27" s="8"/>
      <c r="G27" s="8"/>
    </row>
    <row r="28" spans="2:7" ht="14.25" customHeight="1" x14ac:dyDescent="0.3">
      <c r="B28" s="8"/>
      <c r="E28" s="8"/>
      <c r="G28" s="8"/>
    </row>
    <row r="29" spans="2:7" ht="14.25" customHeight="1" x14ac:dyDescent="0.3">
      <c r="B29" s="8"/>
      <c r="E29" s="8"/>
      <c r="G29" s="8"/>
    </row>
    <row r="30" spans="2:7" ht="14.25" customHeight="1" x14ac:dyDescent="0.3">
      <c r="B30" s="8"/>
      <c r="E30" s="8"/>
      <c r="G30" s="8"/>
    </row>
    <row r="31" spans="2:7" ht="14.25" customHeight="1" x14ac:dyDescent="0.3">
      <c r="B31" s="8"/>
      <c r="E31" s="8"/>
      <c r="G31" s="8"/>
    </row>
    <row r="32" spans="2:7" ht="14.25" customHeight="1" x14ac:dyDescent="0.3">
      <c r="B32" s="8"/>
      <c r="E32" s="8"/>
      <c r="G32" s="8"/>
    </row>
    <row r="33" spans="2:7" ht="14.25" customHeight="1" x14ac:dyDescent="0.3">
      <c r="B33" s="8"/>
      <c r="E33" s="8"/>
      <c r="G33" s="8"/>
    </row>
    <row r="34" spans="2:7" ht="14.25" customHeight="1" x14ac:dyDescent="0.3">
      <c r="B34" s="8"/>
      <c r="E34" s="8"/>
      <c r="G34" s="8"/>
    </row>
    <row r="35" spans="2:7" ht="14.25" customHeight="1" x14ac:dyDescent="0.3">
      <c r="B35" s="8"/>
      <c r="E35" s="8"/>
      <c r="G35" s="8"/>
    </row>
    <row r="36" spans="2:7" ht="14.25" customHeight="1" x14ac:dyDescent="0.3">
      <c r="B36" s="8"/>
      <c r="E36" s="8"/>
      <c r="G36" s="8"/>
    </row>
    <row r="37" spans="2:7" ht="14.25" customHeight="1" x14ac:dyDescent="0.3">
      <c r="B37" s="8"/>
      <c r="E37" s="8"/>
      <c r="G37" s="8"/>
    </row>
    <row r="38" spans="2:7" ht="14.25" customHeight="1" x14ac:dyDescent="0.3">
      <c r="B38" s="8"/>
      <c r="E38" s="8"/>
      <c r="G38" s="8"/>
    </row>
    <row r="39" spans="2:7" ht="14.25" customHeight="1" x14ac:dyDescent="0.3">
      <c r="B39" s="8"/>
      <c r="E39" s="8"/>
      <c r="G39" s="8"/>
    </row>
    <row r="40" spans="2:7" ht="14.25" customHeight="1" x14ac:dyDescent="0.3">
      <c r="B40" s="8"/>
      <c r="E40" s="8"/>
      <c r="G40" s="8"/>
    </row>
    <row r="41" spans="2:7" ht="14.25" customHeight="1" x14ac:dyDescent="0.3">
      <c r="B41" s="8"/>
      <c r="E41" s="8"/>
      <c r="G41" s="8"/>
    </row>
    <row r="42" spans="2:7" ht="14.25" customHeight="1" x14ac:dyDescent="0.3">
      <c r="B42" s="8"/>
      <c r="E42" s="8"/>
      <c r="G42" s="8"/>
    </row>
    <row r="43" spans="2:7" ht="14.25" customHeight="1" x14ac:dyDescent="0.3">
      <c r="B43" s="8"/>
      <c r="E43" s="8"/>
      <c r="G43" s="8"/>
    </row>
    <row r="44" spans="2:7" ht="14.25" customHeight="1" x14ac:dyDescent="0.3">
      <c r="B44" s="8"/>
      <c r="E44" s="8"/>
      <c r="G44" s="8"/>
    </row>
    <row r="45" spans="2:7" ht="14.25" customHeight="1" x14ac:dyDescent="0.3">
      <c r="B45" s="8"/>
      <c r="E45" s="8"/>
      <c r="G45" s="8"/>
    </row>
    <row r="46" spans="2:7" ht="14.25" customHeight="1" x14ac:dyDescent="0.3">
      <c r="B46" s="8"/>
      <c r="E46" s="8"/>
      <c r="G46" s="8"/>
    </row>
    <row r="47" spans="2:7" ht="14.25" customHeight="1" x14ac:dyDescent="0.3">
      <c r="B47" s="8"/>
      <c r="E47" s="8"/>
      <c r="G47" s="8"/>
    </row>
    <row r="48" spans="2:7" ht="14.25" customHeight="1" x14ac:dyDescent="0.3">
      <c r="B48" s="8"/>
      <c r="E48" s="8"/>
      <c r="G48" s="8"/>
    </row>
    <row r="49" spans="2:7" ht="14.25" customHeight="1" x14ac:dyDescent="0.3">
      <c r="B49" s="8"/>
      <c r="E49" s="8"/>
      <c r="G49" s="8"/>
    </row>
    <row r="50" spans="2:7" ht="14.25" customHeight="1" x14ac:dyDescent="0.3">
      <c r="B50" s="8"/>
      <c r="E50" s="8"/>
      <c r="G50" s="8"/>
    </row>
    <row r="51" spans="2:7" ht="14.25" customHeight="1" x14ac:dyDescent="0.3">
      <c r="B51" s="8"/>
      <c r="E51" s="8"/>
      <c r="G51" s="8"/>
    </row>
    <row r="52" spans="2:7" ht="14.25" customHeight="1" x14ac:dyDescent="0.3">
      <c r="B52" s="8"/>
      <c r="E52" s="8"/>
      <c r="G52" s="8"/>
    </row>
    <row r="53" spans="2:7" ht="14.25" customHeight="1" x14ac:dyDescent="0.3">
      <c r="B53" s="8"/>
      <c r="E53" s="8"/>
      <c r="G53" s="8"/>
    </row>
    <row r="54" spans="2:7" ht="14.25" customHeight="1" x14ac:dyDescent="0.3">
      <c r="B54" s="8"/>
      <c r="E54" s="8"/>
      <c r="G54" s="8"/>
    </row>
    <row r="55" spans="2:7" ht="14.25" customHeight="1" x14ac:dyDescent="0.3">
      <c r="B55" s="8"/>
      <c r="E55" s="8"/>
      <c r="G55" s="8"/>
    </row>
    <row r="56" spans="2:7" ht="14.25" customHeight="1" x14ac:dyDescent="0.3">
      <c r="B56" s="8"/>
      <c r="E56" s="8"/>
      <c r="G56" s="8"/>
    </row>
    <row r="57" spans="2:7" ht="14.25" customHeight="1" x14ac:dyDescent="0.3">
      <c r="B57" s="8"/>
      <c r="E57" s="8"/>
      <c r="G57" s="8"/>
    </row>
    <row r="58" spans="2:7" ht="14.25" customHeight="1" x14ac:dyDescent="0.3">
      <c r="B58" s="8"/>
      <c r="E58" s="8"/>
      <c r="G58" s="8"/>
    </row>
    <row r="59" spans="2:7" ht="14.25" customHeight="1" x14ac:dyDescent="0.3">
      <c r="B59" s="8"/>
      <c r="E59" s="8"/>
      <c r="G59" s="8"/>
    </row>
    <row r="60" spans="2:7" ht="14.25" customHeight="1" x14ac:dyDescent="0.3">
      <c r="B60" s="8"/>
      <c r="E60" s="8"/>
      <c r="G60" s="8"/>
    </row>
    <row r="61" spans="2:7" ht="14.25" customHeight="1" x14ac:dyDescent="0.3">
      <c r="B61" s="8"/>
      <c r="E61" s="8"/>
      <c r="G61" s="8"/>
    </row>
    <row r="62" spans="2:7" ht="14.25" customHeight="1" x14ac:dyDescent="0.3">
      <c r="B62" s="8"/>
      <c r="E62" s="8"/>
      <c r="G62" s="8"/>
    </row>
    <row r="63" spans="2:7" ht="14.25" customHeight="1" x14ac:dyDescent="0.3">
      <c r="B63" s="8"/>
      <c r="E63" s="8"/>
      <c r="G63" s="8"/>
    </row>
    <row r="64" spans="2:7" ht="14.25" customHeight="1" x14ac:dyDescent="0.3">
      <c r="B64" s="8"/>
      <c r="E64" s="8"/>
      <c r="G64" s="8"/>
    </row>
    <row r="65" spans="2:7" ht="14.25" customHeight="1" x14ac:dyDescent="0.3">
      <c r="B65" s="8"/>
      <c r="E65" s="8"/>
      <c r="G65" s="8"/>
    </row>
    <row r="66" spans="2:7" ht="14.25" customHeight="1" x14ac:dyDescent="0.3">
      <c r="B66" s="8"/>
      <c r="E66" s="8"/>
      <c r="G66" s="8"/>
    </row>
    <row r="67" spans="2:7" ht="14.25" customHeight="1" x14ac:dyDescent="0.3">
      <c r="B67" s="8"/>
      <c r="E67" s="8"/>
      <c r="G67" s="8"/>
    </row>
    <row r="68" spans="2:7" ht="14.25" customHeight="1" x14ac:dyDescent="0.3">
      <c r="B68" s="8"/>
      <c r="E68" s="8"/>
      <c r="G68" s="8"/>
    </row>
    <row r="69" spans="2:7" ht="14.25" customHeight="1" x14ac:dyDescent="0.3">
      <c r="B69" s="8"/>
      <c r="E69" s="8"/>
      <c r="G69" s="8"/>
    </row>
    <row r="70" spans="2:7" ht="14.25" customHeight="1" x14ac:dyDescent="0.3">
      <c r="B70" s="8"/>
      <c r="E70" s="8"/>
      <c r="G70" s="8"/>
    </row>
    <row r="71" spans="2:7" ht="14.25" customHeight="1" x14ac:dyDescent="0.3">
      <c r="B71" s="8"/>
      <c r="E71" s="8"/>
      <c r="G71" s="8"/>
    </row>
    <row r="72" spans="2:7" ht="14.25" customHeight="1" x14ac:dyDescent="0.3">
      <c r="B72" s="8"/>
      <c r="E72" s="8"/>
      <c r="G72" s="8"/>
    </row>
    <row r="73" spans="2:7" ht="14.25" customHeight="1" x14ac:dyDescent="0.3">
      <c r="B73" s="8"/>
      <c r="E73" s="8"/>
      <c r="G73" s="8"/>
    </row>
    <row r="74" spans="2:7" ht="14.25" customHeight="1" x14ac:dyDescent="0.3">
      <c r="B74" s="8"/>
      <c r="E74" s="8"/>
      <c r="G74" s="8"/>
    </row>
    <row r="75" spans="2:7" ht="14.25" customHeight="1" x14ac:dyDescent="0.3">
      <c r="B75" s="8"/>
      <c r="E75" s="8"/>
      <c r="G75" s="8"/>
    </row>
    <row r="76" spans="2:7" ht="14.25" customHeight="1" x14ac:dyDescent="0.3">
      <c r="B76" s="8"/>
      <c r="E76" s="8"/>
      <c r="G76" s="8"/>
    </row>
    <row r="77" spans="2:7" ht="14.25" customHeight="1" x14ac:dyDescent="0.3">
      <c r="B77" s="8"/>
      <c r="E77" s="8"/>
      <c r="G77" s="8"/>
    </row>
    <row r="78" spans="2:7" ht="14.25" customHeight="1" x14ac:dyDescent="0.3">
      <c r="B78" s="8"/>
      <c r="E78" s="8"/>
      <c r="G78" s="8"/>
    </row>
    <row r="79" spans="2:7" ht="14.25" customHeight="1" x14ac:dyDescent="0.3">
      <c r="B79" s="8"/>
      <c r="E79" s="8"/>
      <c r="G79" s="8"/>
    </row>
    <row r="80" spans="2:7" ht="14.25" customHeight="1" x14ac:dyDescent="0.3">
      <c r="B80" s="8"/>
      <c r="E80" s="8"/>
      <c r="G80" s="8"/>
    </row>
    <row r="81" spans="2:7" ht="14.25" customHeight="1" x14ac:dyDescent="0.3">
      <c r="B81" s="8"/>
      <c r="E81" s="8"/>
      <c r="G81" s="8"/>
    </row>
    <row r="82" spans="2:7" ht="14.25" customHeight="1" x14ac:dyDescent="0.3">
      <c r="B82" s="8"/>
      <c r="E82" s="8"/>
      <c r="G82" s="8"/>
    </row>
    <row r="83" spans="2:7" ht="14.25" customHeight="1" x14ac:dyDescent="0.3">
      <c r="B83" s="8"/>
      <c r="E83" s="8"/>
      <c r="G83" s="8"/>
    </row>
    <row r="84" spans="2:7" ht="14.25" customHeight="1" x14ac:dyDescent="0.3">
      <c r="B84" s="8"/>
      <c r="E84" s="8"/>
      <c r="G84" s="8"/>
    </row>
    <row r="85" spans="2:7" ht="14.25" customHeight="1" x14ac:dyDescent="0.3">
      <c r="B85" s="8"/>
      <c r="E85" s="8"/>
      <c r="G85" s="8"/>
    </row>
    <row r="86" spans="2:7" ht="14.25" customHeight="1" x14ac:dyDescent="0.3">
      <c r="B86" s="8"/>
      <c r="E86" s="8"/>
      <c r="G86" s="8"/>
    </row>
    <row r="87" spans="2:7" ht="14.25" customHeight="1" x14ac:dyDescent="0.3">
      <c r="B87" s="8"/>
      <c r="E87" s="8"/>
      <c r="G87" s="8"/>
    </row>
    <row r="88" spans="2:7" ht="14.25" customHeight="1" x14ac:dyDescent="0.3">
      <c r="B88" s="8"/>
      <c r="E88" s="8"/>
      <c r="G88" s="8"/>
    </row>
    <row r="89" spans="2:7" ht="14.25" customHeight="1" x14ac:dyDescent="0.3">
      <c r="B89" s="8"/>
      <c r="E89" s="8"/>
      <c r="G89" s="8"/>
    </row>
    <row r="90" spans="2:7" ht="14.25" customHeight="1" x14ac:dyDescent="0.3">
      <c r="B90" s="8"/>
      <c r="E90" s="8"/>
      <c r="G90" s="8"/>
    </row>
    <row r="91" spans="2:7" ht="14.25" customHeight="1" x14ac:dyDescent="0.3">
      <c r="B91" s="8"/>
      <c r="E91" s="8"/>
      <c r="G91" s="8"/>
    </row>
    <row r="92" spans="2:7" ht="14.25" customHeight="1" x14ac:dyDescent="0.3">
      <c r="B92" s="8"/>
      <c r="E92" s="8"/>
      <c r="G92" s="8"/>
    </row>
    <row r="93" spans="2:7" ht="14.25" customHeight="1" x14ac:dyDescent="0.3">
      <c r="B93" s="8"/>
      <c r="E93" s="8"/>
      <c r="G93" s="8"/>
    </row>
    <row r="94" spans="2:7" ht="14.25" customHeight="1" x14ac:dyDescent="0.3">
      <c r="B94" s="8"/>
      <c r="E94" s="8"/>
      <c r="G94" s="8"/>
    </row>
    <row r="95" spans="2:7" ht="14.25" customHeight="1" x14ac:dyDescent="0.3">
      <c r="B95" s="8"/>
      <c r="E95" s="8"/>
      <c r="G95" s="8"/>
    </row>
    <row r="96" spans="2:7" ht="14.25" customHeight="1" x14ac:dyDescent="0.3">
      <c r="B96" s="8"/>
      <c r="E96" s="8"/>
      <c r="G96" s="8"/>
    </row>
    <row r="97" spans="2:7" ht="14.25" customHeight="1" x14ac:dyDescent="0.3">
      <c r="B97" s="8"/>
      <c r="E97" s="8"/>
      <c r="G97" s="8"/>
    </row>
    <row r="98" spans="2:7" ht="14.25" customHeight="1" x14ac:dyDescent="0.3">
      <c r="B98" s="8"/>
      <c r="E98" s="8"/>
      <c r="G98" s="8"/>
    </row>
    <row r="99" spans="2:7" ht="14.25" customHeight="1" x14ac:dyDescent="0.3">
      <c r="B99" s="8"/>
      <c r="E99" s="8"/>
      <c r="G99" s="8"/>
    </row>
    <row r="100" spans="2:7" ht="14.25" customHeight="1" x14ac:dyDescent="0.3">
      <c r="B100" s="8"/>
      <c r="E100" s="8"/>
      <c r="G100" s="8"/>
    </row>
    <row r="101" spans="2:7" ht="14.25" customHeight="1" x14ac:dyDescent="0.3">
      <c r="B101" s="8"/>
      <c r="E101" s="8"/>
      <c r="G101" s="8"/>
    </row>
    <row r="102" spans="2:7" ht="14.25" customHeight="1" x14ac:dyDescent="0.3">
      <c r="B102" s="8"/>
      <c r="E102" s="8"/>
      <c r="G102" s="8"/>
    </row>
    <row r="103" spans="2:7" ht="14.25" customHeight="1" x14ac:dyDescent="0.3">
      <c r="B103" s="8"/>
      <c r="E103" s="8"/>
      <c r="G103" s="8"/>
    </row>
    <row r="104" spans="2:7" ht="14.25" customHeight="1" x14ac:dyDescent="0.3">
      <c r="B104" s="8"/>
      <c r="E104" s="8"/>
      <c r="G104" s="8"/>
    </row>
    <row r="105" spans="2:7" ht="14.25" customHeight="1" x14ac:dyDescent="0.3">
      <c r="B105" s="8"/>
      <c r="E105" s="8"/>
      <c r="G105" s="8"/>
    </row>
    <row r="106" spans="2:7" ht="14.25" customHeight="1" x14ac:dyDescent="0.3">
      <c r="B106" s="8"/>
      <c r="E106" s="8"/>
      <c r="G106" s="8"/>
    </row>
    <row r="107" spans="2:7" ht="14.25" customHeight="1" x14ac:dyDescent="0.3">
      <c r="B107" s="8"/>
      <c r="E107" s="8"/>
      <c r="G107" s="8"/>
    </row>
    <row r="108" spans="2:7" ht="14.25" customHeight="1" x14ac:dyDescent="0.3">
      <c r="B108" s="8"/>
      <c r="E108" s="8"/>
      <c r="G108" s="8"/>
    </row>
    <row r="109" spans="2:7" ht="14.25" customHeight="1" x14ac:dyDescent="0.3">
      <c r="B109" s="8"/>
      <c r="E109" s="8"/>
      <c r="G109" s="8"/>
    </row>
    <row r="110" spans="2:7" ht="14.25" customHeight="1" x14ac:dyDescent="0.3">
      <c r="B110" s="8"/>
      <c r="E110" s="8"/>
      <c r="G110" s="8"/>
    </row>
    <row r="111" spans="2:7" ht="14.25" customHeight="1" x14ac:dyDescent="0.3">
      <c r="B111" s="8"/>
      <c r="E111" s="8"/>
      <c r="G111" s="8"/>
    </row>
    <row r="112" spans="2:7" ht="14.25" customHeight="1" x14ac:dyDescent="0.3">
      <c r="B112" s="8"/>
      <c r="E112" s="8"/>
      <c r="G112" s="8"/>
    </row>
    <row r="113" spans="2:7" ht="14.25" customHeight="1" x14ac:dyDescent="0.3">
      <c r="B113" s="8"/>
      <c r="E113" s="8"/>
      <c r="G113" s="8"/>
    </row>
    <row r="114" spans="2:7" ht="14.25" customHeight="1" x14ac:dyDescent="0.3">
      <c r="B114" s="8"/>
      <c r="E114" s="8"/>
      <c r="G114" s="8"/>
    </row>
    <row r="115" spans="2:7" ht="14.25" customHeight="1" x14ac:dyDescent="0.3">
      <c r="B115" s="8"/>
      <c r="E115" s="8"/>
      <c r="G115" s="8"/>
    </row>
    <row r="116" spans="2:7" ht="14.25" customHeight="1" x14ac:dyDescent="0.3">
      <c r="B116" s="8"/>
      <c r="E116" s="8"/>
      <c r="G116" s="8"/>
    </row>
    <row r="117" spans="2:7" ht="14.25" customHeight="1" x14ac:dyDescent="0.3">
      <c r="B117" s="8"/>
      <c r="E117" s="8"/>
      <c r="G117" s="8"/>
    </row>
    <row r="118" spans="2:7" ht="14.25" customHeight="1" x14ac:dyDescent="0.3">
      <c r="B118" s="8"/>
      <c r="E118" s="8"/>
      <c r="G118" s="8"/>
    </row>
    <row r="119" spans="2:7" ht="14.25" customHeight="1" x14ac:dyDescent="0.3">
      <c r="B119" s="8"/>
      <c r="E119" s="8"/>
      <c r="G119" s="8"/>
    </row>
    <row r="120" spans="2:7" ht="14.25" customHeight="1" x14ac:dyDescent="0.3">
      <c r="B120" s="8"/>
      <c r="E120" s="8"/>
      <c r="G120" s="8"/>
    </row>
    <row r="121" spans="2:7" ht="14.25" customHeight="1" x14ac:dyDescent="0.3">
      <c r="B121" s="8"/>
      <c r="E121" s="8"/>
      <c r="G121" s="8"/>
    </row>
    <row r="122" spans="2:7" ht="14.25" customHeight="1" x14ac:dyDescent="0.3">
      <c r="B122" s="8"/>
      <c r="E122" s="8"/>
      <c r="G122" s="8"/>
    </row>
    <row r="123" spans="2:7" ht="14.25" customHeight="1" x14ac:dyDescent="0.3">
      <c r="B123" s="8"/>
      <c r="E123" s="8"/>
      <c r="G123" s="8"/>
    </row>
    <row r="124" spans="2:7" ht="14.25" customHeight="1" x14ac:dyDescent="0.3">
      <c r="B124" s="8"/>
      <c r="E124" s="8"/>
      <c r="G124" s="8"/>
    </row>
    <row r="125" spans="2:7" ht="14.25" customHeight="1" x14ac:dyDescent="0.3">
      <c r="B125" s="8"/>
      <c r="E125" s="8"/>
      <c r="G125" s="8"/>
    </row>
    <row r="126" spans="2:7" ht="14.25" customHeight="1" x14ac:dyDescent="0.3">
      <c r="B126" s="8"/>
      <c r="E126" s="8"/>
      <c r="G126" s="8"/>
    </row>
    <row r="127" spans="2:7" ht="14.25" customHeight="1" x14ac:dyDescent="0.3">
      <c r="B127" s="8"/>
      <c r="E127" s="8"/>
      <c r="G127" s="8"/>
    </row>
    <row r="128" spans="2:7" ht="14.25" customHeight="1" x14ac:dyDescent="0.3">
      <c r="B128" s="8"/>
      <c r="E128" s="8"/>
      <c r="G128" s="8"/>
    </row>
    <row r="129" spans="2:7" ht="14.25" customHeight="1" x14ac:dyDescent="0.3">
      <c r="B129" s="8"/>
      <c r="E129" s="8"/>
      <c r="G129" s="8"/>
    </row>
    <row r="130" spans="2:7" ht="14.25" customHeight="1" x14ac:dyDescent="0.3">
      <c r="B130" s="8"/>
      <c r="E130" s="8"/>
      <c r="G130" s="8"/>
    </row>
    <row r="131" spans="2:7" ht="14.25" customHeight="1" x14ac:dyDescent="0.3">
      <c r="B131" s="8"/>
      <c r="E131" s="8"/>
      <c r="G131" s="8"/>
    </row>
    <row r="132" spans="2:7" ht="14.25" customHeight="1" x14ac:dyDescent="0.3">
      <c r="B132" s="8"/>
      <c r="E132" s="8"/>
      <c r="G132" s="8"/>
    </row>
    <row r="133" spans="2:7" ht="14.25" customHeight="1" x14ac:dyDescent="0.3">
      <c r="B133" s="8"/>
      <c r="E133" s="8"/>
      <c r="G133" s="8"/>
    </row>
    <row r="134" spans="2:7" ht="14.25" customHeight="1" x14ac:dyDescent="0.3">
      <c r="B134" s="8"/>
      <c r="E134" s="8"/>
      <c r="G134" s="8"/>
    </row>
    <row r="135" spans="2:7" ht="14.25" customHeight="1" x14ac:dyDescent="0.3">
      <c r="B135" s="8"/>
      <c r="E135" s="8"/>
      <c r="G135" s="8"/>
    </row>
    <row r="136" spans="2:7" ht="14.25" customHeight="1" x14ac:dyDescent="0.3">
      <c r="B136" s="8"/>
      <c r="E136" s="8"/>
      <c r="G136" s="8"/>
    </row>
    <row r="137" spans="2:7" ht="14.25" customHeight="1" x14ac:dyDescent="0.3">
      <c r="B137" s="8"/>
      <c r="E137" s="8"/>
      <c r="G137" s="8"/>
    </row>
    <row r="138" spans="2:7" ht="14.25" customHeight="1" x14ac:dyDescent="0.3">
      <c r="B138" s="8"/>
      <c r="E138" s="8"/>
      <c r="G138" s="8"/>
    </row>
    <row r="139" spans="2:7" ht="14.25" customHeight="1" x14ac:dyDescent="0.3">
      <c r="B139" s="8"/>
      <c r="E139" s="8"/>
      <c r="G139" s="8"/>
    </row>
    <row r="140" spans="2:7" ht="14.25" customHeight="1" x14ac:dyDescent="0.3">
      <c r="B140" s="8"/>
      <c r="E140" s="8"/>
      <c r="G140" s="8"/>
    </row>
    <row r="141" spans="2:7" ht="14.25" customHeight="1" x14ac:dyDescent="0.3">
      <c r="B141" s="8"/>
      <c r="E141" s="8"/>
      <c r="G141" s="8"/>
    </row>
    <row r="142" spans="2:7" ht="14.25" customHeight="1" x14ac:dyDescent="0.3">
      <c r="B142" s="8"/>
      <c r="E142" s="8"/>
      <c r="G142" s="8"/>
    </row>
    <row r="143" spans="2:7" ht="14.25" customHeight="1" x14ac:dyDescent="0.3">
      <c r="B143" s="8"/>
      <c r="E143" s="8"/>
      <c r="G143" s="8"/>
    </row>
    <row r="144" spans="2:7" ht="14.25" customHeight="1" x14ac:dyDescent="0.3">
      <c r="B144" s="8"/>
      <c r="E144" s="8"/>
      <c r="G144" s="8"/>
    </row>
    <row r="145" spans="2:7" ht="14.25" customHeight="1" x14ac:dyDescent="0.3">
      <c r="B145" s="8"/>
      <c r="E145" s="8"/>
      <c r="G145" s="8"/>
    </row>
    <row r="146" spans="2:7" ht="14.25" customHeight="1" x14ac:dyDescent="0.3">
      <c r="B146" s="8"/>
      <c r="E146" s="8"/>
      <c r="G146" s="8"/>
    </row>
    <row r="147" spans="2:7" ht="14.25" customHeight="1" x14ac:dyDescent="0.3">
      <c r="B147" s="8"/>
      <c r="E147" s="8"/>
      <c r="G147" s="8"/>
    </row>
    <row r="148" spans="2:7" ht="14.25" customHeight="1" x14ac:dyDescent="0.3">
      <c r="B148" s="8"/>
      <c r="E148" s="8"/>
      <c r="G148" s="8"/>
    </row>
    <row r="149" spans="2:7" ht="14.25" customHeight="1" x14ac:dyDescent="0.3">
      <c r="B149" s="8"/>
      <c r="E149" s="8"/>
      <c r="G149" s="8"/>
    </row>
    <row r="150" spans="2:7" ht="14.25" customHeight="1" x14ac:dyDescent="0.3">
      <c r="B150" s="8"/>
      <c r="E150" s="8"/>
      <c r="G150" s="8"/>
    </row>
    <row r="151" spans="2:7" ht="14.25" customHeight="1" x14ac:dyDescent="0.3">
      <c r="B151" s="8"/>
      <c r="E151" s="8"/>
      <c r="G151" s="8"/>
    </row>
    <row r="152" spans="2:7" ht="14.25" customHeight="1" x14ac:dyDescent="0.3">
      <c r="B152" s="8"/>
      <c r="E152" s="8"/>
      <c r="G152" s="8"/>
    </row>
    <row r="153" spans="2:7" ht="14.25" customHeight="1" x14ac:dyDescent="0.3">
      <c r="B153" s="8"/>
      <c r="E153" s="8"/>
      <c r="G153" s="8"/>
    </row>
    <row r="154" spans="2:7" ht="14.25" customHeight="1" x14ac:dyDescent="0.3">
      <c r="B154" s="8"/>
      <c r="E154" s="8"/>
      <c r="G154" s="8"/>
    </row>
    <row r="155" spans="2:7" ht="14.25" customHeight="1" x14ac:dyDescent="0.3">
      <c r="B155" s="8"/>
      <c r="E155" s="8"/>
      <c r="G155" s="8"/>
    </row>
    <row r="156" spans="2:7" ht="14.25" customHeight="1" x14ac:dyDescent="0.3">
      <c r="B156" s="8"/>
      <c r="E156" s="8"/>
      <c r="G156" s="8"/>
    </row>
    <row r="157" spans="2:7" ht="14.25" customHeight="1" x14ac:dyDescent="0.3">
      <c r="B157" s="8"/>
      <c r="E157" s="8"/>
      <c r="G157" s="8"/>
    </row>
    <row r="158" spans="2:7" ht="14.25" customHeight="1" x14ac:dyDescent="0.3">
      <c r="B158" s="8"/>
      <c r="E158" s="8"/>
      <c r="G158" s="8"/>
    </row>
    <row r="159" spans="2:7" ht="14.25" customHeight="1" x14ac:dyDescent="0.3">
      <c r="B159" s="8"/>
      <c r="E159" s="8"/>
      <c r="G159" s="8"/>
    </row>
    <row r="160" spans="2:7" ht="14.25" customHeight="1" x14ac:dyDescent="0.3">
      <c r="B160" s="8"/>
      <c r="E160" s="8"/>
      <c r="G160" s="8"/>
    </row>
    <row r="161" spans="2:7" ht="14.25" customHeight="1" x14ac:dyDescent="0.3">
      <c r="B161" s="8"/>
      <c r="E161" s="8"/>
      <c r="G161" s="8"/>
    </row>
    <row r="162" spans="2:7" ht="14.25" customHeight="1" x14ac:dyDescent="0.3">
      <c r="B162" s="8"/>
      <c r="E162" s="8"/>
      <c r="G162" s="8"/>
    </row>
    <row r="163" spans="2:7" ht="14.25" customHeight="1" x14ac:dyDescent="0.3">
      <c r="B163" s="8"/>
      <c r="E163" s="8"/>
      <c r="G163" s="8"/>
    </row>
    <row r="164" spans="2:7" ht="14.25" customHeight="1" x14ac:dyDescent="0.3">
      <c r="B164" s="8"/>
      <c r="E164" s="8"/>
      <c r="G164" s="8"/>
    </row>
    <row r="165" spans="2:7" ht="14.25" customHeight="1" x14ac:dyDescent="0.3">
      <c r="B165" s="8"/>
      <c r="E165" s="8"/>
      <c r="G165" s="8"/>
    </row>
    <row r="166" spans="2:7" ht="14.25" customHeight="1" x14ac:dyDescent="0.3">
      <c r="B166" s="8"/>
      <c r="E166" s="8"/>
      <c r="G166" s="8"/>
    </row>
    <row r="167" spans="2:7" ht="14.25" customHeight="1" x14ac:dyDescent="0.3">
      <c r="B167" s="8"/>
      <c r="E167" s="8"/>
      <c r="G167" s="8"/>
    </row>
    <row r="168" spans="2:7" ht="14.25" customHeight="1" x14ac:dyDescent="0.3">
      <c r="B168" s="8"/>
      <c r="E168" s="8"/>
      <c r="G168" s="8"/>
    </row>
    <row r="169" spans="2:7" ht="14.25" customHeight="1" x14ac:dyDescent="0.3">
      <c r="B169" s="8"/>
      <c r="E169" s="8"/>
      <c r="G169" s="8"/>
    </row>
    <row r="170" spans="2:7" ht="14.25" customHeight="1" x14ac:dyDescent="0.3">
      <c r="B170" s="8"/>
      <c r="E170" s="8"/>
      <c r="G170" s="8"/>
    </row>
    <row r="171" spans="2:7" ht="14.25" customHeight="1" x14ac:dyDescent="0.3">
      <c r="B171" s="8"/>
      <c r="E171" s="8"/>
      <c r="G171" s="8"/>
    </row>
    <row r="172" spans="2:7" ht="14.25" customHeight="1" x14ac:dyDescent="0.3">
      <c r="B172" s="8"/>
      <c r="E172" s="8"/>
      <c r="G172" s="8"/>
    </row>
    <row r="173" spans="2:7" ht="14.25" customHeight="1" x14ac:dyDescent="0.3">
      <c r="B173" s="8"/>
      <c r="E173" s="8"/>
      <c r="G173" s="8"/>
    </row>
    <row r="174" spans="2:7" ht="14.25" customHeight="1" x14ac:dyDescent="0.3">
      <c r="B174" s="8"/>
      <c r="E174" s="8"/>
      <c r="G174" s="8"/>
    </row>
    <row r="175" spans="2:7" ht="14.25" customHeight="1" x14ac:dyDescent="0.3">
      <c r="B175" s="8"/>
      <c r="E175" s="8"/>
      <c r="G175" s="8"/>
    </row>
    <row r="176" spans="2:7" ht="14.25" customHeight="1" x14ac:dyDescent="0.3">
      <c r="B176" s="8"/>
      <c r="E176" s="8"/>
      <c r="G176" s="8"/>
    </row>
    <row r="177" spans="2:7" ht="14.25" customHeight="1" x14ac:dyDescent="0.3">
      <c r="B177" s="8"/>
      <c r="E177" s="8"/>
      <c r="G177" s="8"/>
    </row>
    <row r="178" spans="2:7" ht="14.25" customHeight="1" x14ac:dyDescent="0.3">
      <c r="B178" s="8"/>
      <c r="E178" s="8"/>
      <c r="G178" s="8"/>
    </row>
    <row r="179" spans="2:7" ht="14.25" customHeight="1" x14ac:dyDescent="0.3">
      <c r="B179" s="8"/>
      <c r="E179" s="8"/>
      <c r="G179" s="8"/>
    </row>
    <row r="180" spans="2:7" ht="14.25" customHeight="1" x14ac:dyDescent="0.3">
      <c r="B180" s="8"/>
      <c r="E180" s="8"/>
      <c r="G180" s="8"/>
    </row>
    <row r="181" spans="2:7" ht="14.25" customHeight="1" x14ac:dyDescent="0.3">
      <c r="B181" s="8"/>
      <c r="E181" s="8"/>
      <c r="G181" s="8"/>
    </row>
    <row r="182" spans="2:7" ht="14.25" customHeight="1" x14ac:dyDescent="0.3">
      <c r="B182" s="8"/>
      <c r="E182" s="8"/>
      <c r="G182" s="8"/>
    </row>
    <row r="183" spans="2:7" ht="14.25" customHeight="1" x14ac:dyDescent="0.3">
      <c r="B183" s="8"/>
      <c r="E183" s="8"/>
      <c r="G183" s="8"/>
    </row>
    <row r="184" spans="2:7" ht="14.25" customHeight="1" x14ac:dyDescent="0.3">
      <c r="B184" s="8"/>
      <c r="E184" s="8"/>
      <c r="G184" s="8"/>
    </row>
    <row r="185" spans="2:7" ht="14.25" customHeight="1" x14ac:dyDescent="0.3">
      <c r="B185" s="8"/>
      <c r="E185" s="8"/>
      <c r="G185" s="8"/>
    </row>
    <row r="186" spans="2:7" ht="14.25" customHeight="1" x14ac:dyDescent="0.3">
      <c r="B186" s="8"/>
      <c r="E186" s="8"/>
      <c r="G186" s="8"/>
    </row>
    <row r="187" spans="2:7" ht="14.25" customHeight="1" x14ac:dyDescent="0.3">
      <c r="B187" s="8"/>
      <c r="E187" s="8"/>
      <c r="G187" s="8"/>
    </row>
    <row r="188" spans="2:7" ht="14.25" customHeight="1" x14ac:dyDescent="0.3">
      <c r="B188" s="8"/>
      <c r="E188" s="8"/>
      <c r="G188" s="8"/>
    </row>
    <row r="189" spans="2:7" ht="14.25" customHeight="1" x14ac:dyDescent="0.3">
      <c r="B189" s="8"/>
      <c r="E189" s="8"/>
      <c r="G189" s="8"/>
    </row>
    <row r="190" spans="2:7" ht="14.25" customHeight="1" x14ac:dyDescent="0.3">
      <c r="B190" s="8"/>
      <c r="E190" s="8"/>
      <c r="G190" s="8"/>
    </row>
    <row r="191" spans="2:7" ht="14.25" customHeight="1" x14ac:dyDescent="0.3">
      <c r="B191" s="8"/>
      <c r="E191" s="8"/>
      <c r="G191" s="8"/>
    </row>
    <row r="192" spans="2:7" ht="14.25" customHeight="1" x14ac:dyDescent="0.3">
      <c r="B192" s="8"/>
      <c r="E192" s="8"/>
      <c r="G192" s="8"/>
    </row>
    <row r="193" spans="2:7" ht="14.25" customHeight="1" x14ac:dyDescent="0.3">
      <c r="B193" s="8"/>
      <c r="E193" s="8"/>
      <c r="G193" s="8"/>
    </row>
    <row r="194" spans="2:7" ht="14.25" customHeight="1" x14ac:dyDescent="0.3">
      <c r="B194" s="8"/>
      <c r="E194" s="8"/>
      <c r="G194" s="8"/>
    </row>
    <row r="195" spans="2:7" ht="14.25" customHeight="1" x14ac:dyDescent="0.3">
      <c r="B195" s="8"/>
      <c r="E195" s="8"/>
      <c r="G195" s="8"/>
    </row>
    <row r="196" spans="2:7" ht="14.25" customHeight="1" x14ac:dyDescent="0.3">
      <c r="B196" s="8"/>
      <c r="E196" s="8"/>
      <c r="G196" s="8"/>
    </row>
    <row r="197" spans="2:7" ht="14.25" customHeight="1" x14ac:dyDescent="0.3">
      <c r="B197" s="8"/>
      <c r="E197" s="8"/>
      <c r="G197" s="8"/>
    </row>
    <row r="198" spans="2:7" ht="14.25" customHeight="1" x14ac:dyDescent="0.3">
      <c r="B198" s="8"/>
      <c r="E198" s="8"/>
      <c r="G198" s="8"/>
    </row>
    <row r="199" spans="2:7" ht="14.25" customHeight="1" x14ac:dyDescent="0.3">
      <c r="B199" s="8"/>
      <c r="E199" s="8"/>
      <c r="G199" s="8"/>
    </row>
    <row r="200" spans="2:7" ht="14.25" customHeight="1" x14ac:dyDescent="0.3">
      <c r="B200" s="8"/>
      <c r="E200" s="8"/>
      <c r="G200" s="8"/>
    </row>
    <row r="201" spans="2:7" ht="14.25" customHeight="1" x14ac:dyDescent="0.3">
      <c r="B201" s="8"/>
      <c r="E201" s="8"/>
      <c r="G201" s="8"/>
    </row>
    <row r="202" spans="2:7" ht="14.25" customHeight="1" x14ac:dyDescent="0.3">
      <c r="B202" s="8"/>
      <c r="E202" s="8"/>
      <c r="G202" s="8"/>
    </row>
    <row r="203" spans="2:7" ht="14.25" customHeight="1" x14ac:dyDescent="0.3">
      <c r="B203" s="8"/>
      <c r="E203" s="8"/>
      <c r="G203" s="8"/>
    </row>
    <row r="204" spans="2:7" ht="14.25" customHeight="1" x14ac:dyDescent="0.3">
      <c r="B204" s="8"/>
      <c r="E204" s="8"/>
      <c r="G204" s="8"/>
    </row>
    <row r="205" spans="2:7" ht="14.25" customHeight="1" x14ac:dyDescent="0.3">
      <c r="B205" s="8"/>
      <c r="E205" s="8"/>
      <c r="G205" s="8"/>
    </row>
    <row r="206" spans="2:7" ht="14.25" customHeight="1" x14ac:dyDescent="0.3">
      <c r="B206" s="8"/>
      <c r="E206" s="8"/>
      <c r="G206" s="8"/>
    </row>
    <row r="207" spans="2:7" ht="14.25" customHeight="1" x14ac:dyDescent="0.3">
      <c r="B207" s="8"/>
      <c r="E207" s="8"/>
      <c r="G207" s="8"/>
    </row>
    <row r="208" spans="2:7" ht="14.25" customHeight="1" x14ac:dyDescent="0.3">
      <c r="B208" s="8"/>
      <c r="E208" s="8"/>
      <c r="G208" s="8"/>
    </row>
    <row r="209" spans="2:7" ht="14.25" customHeight="1" x14ac:dyDescent="0.3">
      <c r="B209" s="8"/>
      <c r="E209" s="8"/>
      <c r="G209" s="8"/>
    </row>
    <row r="210" spans="2:7" ht="14.25" customHeight="1" x14ac:dyDescent="0.3">
      <c r="B210" s="8"/>
      <c r="E210" s="8"/>
      <c r="G210" s="8"/>
    </row>
    <row r="211" spans="2:7" ht="14.25" customHeight="1" x14ac:dyDescent="0.3">
      <c r="B211" s="8"/>
      <c r="E211" s="8"/>
      <c r="G211" s="8"/>
    </row>
    <row r="212" spans="2:7" ht="14.25" customHeight="1" x14ac:dyDescent="0.3">
      <c r="B212" s="8"/>
      <c r="E212" s="8"/>
      <c r="G212" s="8"/>
    </row>
    <row r="213" spans="2:7" ht="14.25" customHeight="1" x14ac:dyDescent="0.3">
      <c r="B213" s="8"/>
      <c r="E213" s="8"/>
      <c r="G213" s="8"/>
    </row>
    <row r="214" spans="2:7" ht="14.25" customHeight="1" x14ac:dyDescent="0.3">
      <c r="B214" s="8"/>
      <c r="E214" s="8"/>
      <c r="G214" s="8"/>
    </row>
    <row r="215" spans="2:7" ht="14.25" customHeight="1" x14ac:dyDescent="0.3">
      <c r="B215" s="8"/>
      <c r="E215" s="8"/>
      <c r="G215" s="8"/>
    </row>
    <row r="216" spans="2:7" ht="14.25" customHeight="1" x14ac:dyDescent="0.3">
      <c r="B216" s="8"/>
      <c r="E216" s="8"/>
      <c r="G216" s="8"/>
    </row>
    <row r="217" spans="2:7" ht="14.25" customHeight="1" x14ac:dyDescent="0.3">
      <c r="B217" s="8"/>
      <c r="E217" s="8"/>
      <c r="G217" s="8"/>
    </row>
    <row r="218" spans="2:7" ht="14.25" customHeight="1" x14ac:dyDescent="0.3">
      <c r="B218" s="8"/>
      <c r="E218" s="8"/>
      <c r="G218" s="8"/>
    </row>
    <row r="219" spans="2:7" ht="14.25" customHeight="1" x14ac:dyDescent="0.3">
      <c r="B219" s="8"/>
      <c r="E219" s="8"/>
      <c r="G219" s="8"/>
    </row>
    <row r="220" spans="2:7" ht="14.25" customHeight="1" x14ac:dyDescent="0.3">
      <c r="B220" s="8"/>
      <c r="E220" s="8"/>
      <c r="G220" s="8"/>
    </row>
    <row r="221" spans="2:7" ht="14.25" customHeight="1" x14ac:dyDescent="0.3">
      <c r="B221" s="8"/>
      <c r="E221" s="8"/>
      <c r="G221" s="8"/>
    </row>
    <row r="222" spans="2:7" ht="14.25" customHeight="1" x14ac:dyDescent="0.3">
      <c r="B222" s="8"/>
      <c r="E222" s="8"/>
      <c r="G222" s="8"/>
    </row>
    <row r="223" spans="2:7" ht="14.25" customHeight="1" x14ac:dyDescent="0.3">
      <c r="B223" s="8"/>
      <c r="E223" s="8"/>
      <c r="G223" s="8"/>
    </row>
    <row r="224" spans="2:7" ht="14.25" customHeight="1" x14ac:dyDescent="0.3">
      <c r="B224" s="8"/>
      <c r="E224" s="8"/>
      <c r="G224" s="8"/>
    </row>
    <row r="225" spans="2:7" ht="14.25" customHeight="1" x14ac:dyDescent="0.3">
      <c r="B225" s="8"/>
      <c r="E225" s="8"/>
      <c r="G225" s="8"/>
    </row>
    <row r="226" spans="2:7" ht="14.25" customHeight="1" x14ac:dyDescent="0.3">
      <c r="B226" s="8"/>
      <c r="E226" s="8"/>
      <c r="G226" s="8"/>
    </row>
    <row r="227" spans="2:7" ht="14.25" customHeight="1" x14ac:dyDescent="0.3">
      <c r="B227" s="8"/>
      <c r="E227" s="8"/>
      <c r="G227" s="8"/>
    </row>
    <row r="228" spans="2:7" ht="14.25" customHeight="1" x14ac:dyDescent="0.3">
      <c r="B228" s="8"/>
      <c r="E228" s="8"/>
      <c r="G228" s="8"/>
    </row>
    <row r="229" spans="2:7" ht="14.25" customHeight="1" x14ac:dyDescent="0.3">
      <c r="B229" s="8"/>
      <c r="E229" s="8"/>
      <c r="G229" s="8"/>
    </row>
    <row r="230" spans="2:7" ht="14.25" customHeight="1" x14ac:dyDescent="0.3">
      <c r="B230" s="8"/>
      <c r="E230" s="8"/>
      <c r="G230" s="8"/>
    </row>
    <row r="231" spans="2:7" ht="14.25" customHeight="1" x14ac:dyDescent="0.3">
      <c r="B231" s="8"/>
      <c r="E231" s="8"/>
      <c r="G231" s="8"/>
    </row>
    <row r="232" spans="2:7" ht="14.25" customHeight="1" x14ac:dyDescent="0.3">
      <c r="B232" s="8"/>
      <c r="E232" s="8"/>
      <c r="G232" s="8"/>
    </row>
    <row r="233" spans="2:7" ht="14.25" customHeight="1" x14ac:dyDescent="0.3">
      <c r="B233" s="8"/>
      <c r="E233" s="8"/>
      <c r="G233" s="8"/>
    </row>
    <row r="234" spans="2:7" ht="14.25" customHeight="1" x14ac:dyDescent="0.3">
      <c r="B234" s="8"/>
      <c r="E234" s="8"/>
      <c r="G234" s="8"/>
    </row>
    <row r="235" spans="2:7" ht="14.25" customHeight="1" x14ac:dyDescent="0.3">
      <c r="B235" s="8"/>
      <c r="E235" s="8"/>
      <c r="G235" s="8"/>
    </row>
    <row r="236" spans="2:7" ht="14.25" customHeight="1" x14ac:dyDescent="0.3">
      <c r="B236" s="8"/>
      <c r="E236" s="8"/>
      <c r="G236" s="8"/>
    </row>
    <row r="237" spans="2:7" ht="14.25" customHeight="1" x14ac:dyDescent="0.3">
      <c r="B237" s="8"/>
      <c r="E237" s="8"/>
      <c r="G237" s="8"/>
    </row>
    <row r="238" spans="2:7" ht="14.25" customHeight="1" x14ac:dyDescent="0.3">
      <c r="B238" s="8"/>
      <c r="E238" s="8"/>
      <c r="G238" s="8"/>
    </row>
    <row r="239" spans="2:7" ht="14.25" customHeight="1" x14ac:dyDescent="0.3">
      <c r="B239" s="8"/>
      <c r="E239" s="8"/>
      <c r="G239" s="8"/>
    </row>
    <row r="240" spans="2:7" ht="14.25" customHeight="1" x14ac:dyDescent="0.3">
      <c r="B240" s="8"/>
      <c r="E240" s="8"/>
      <c r="G240" s="8"/>
    </row>
    <row r="241" spans="2:7" ht="14.25" customHeight="1" x14ac:dyDescent="0.3">
      <c r="B241" s="8"/>
      <c r="E241" s="8"/>
      <c r="G241" s="8"/>
    </row>
    <row r="242" spans="2:7" ht="14.25" customHeight="1" x14ac:dyDescent="0.3">
      <c r="B242" s="8"/>
      <c r="E242" s="8"/>
      <c r="G242" s="8"/>
    </row>
    <row r="243" spans="2:7" ht="14.25" customHeight="1" x14ac:dyDescent="0.3">
      <c r="B243" s="8"/>
      <c r="E243" s="8"/>
      <c r="G243" s="8"/>
    </row>
    <row r="244" spans="2:7" ht="14.25" customHeight="1" x14ac:dyDescent="0.3">
      <c r="B244" s="8"/>
      <c r="E244" s="8"/>
      <c r="G244" s="8"/>
    </row>
    <row r="245" spans="2:7" ht="14.25" customHeight="1" x14ac:dyDescent="0.3">
      <c r="B245" s="8"/>
      <c r="E245" s="8"/>
      <c r="G245" s="8"/>
    </row>
    <row r="246" spans="2:7" ht="14.25" customHeight="1" x14ac:dyDescent="0.3">
      <c r="B246" s="8"/>
      <c r="E246" s="8"/>
      <c r="G246" s="8"/>
    </row>
    <row r="247" spans="2:7" ht="14.25" customHeight="1" x14ac:dyDescent="0.3">
      <c r="B247" s="8"/>
      <c r="E247" s="8"/>
      <c r="G247" s="8"/>
    </row>
    <row r="248" spans="2:7" ht="14.25" customHeight="1" x14ac:dyDescent="0.3">
      <c r="B248" s="8"/>
      <c r="E248" s="8"/>
      <c r="G248" s="8"/>
    </row>
    <row r="249" spans="2:7" ht="14.25" customHeight="1" x14ac:dyDescent="0.3">
      <c r="B249" s="8"/>
      <c r="E249" s="8"/>
      <c r="G249" s="8"/>
    </row>
    <row r="250" spans="2:7" ht="14.25" customHeight="1" x14ac:dyDescent="0.3">
      <c r="B250" s="8"/>
      <c r="E250" s="8"/>
      <c r="G250" s="8"/>
    </row>
    <row r="251" spans="2:7" ht="14.25" customHeight="1" x14ac:dyDescent="0.3">
      <c r="B251" s="8"/>
      <c r="E251" s="8"/>
      <c r="G251" s="8"/>
    </row>
    <row r="252" spans="2:7" ht="14.25" customHeight="1" x14ac:dyDescent="0.3">
      <c r="B252" s="8"/>
      <c r="E252" s="8"/>
      <c r="G252" s="8"/>
    </row>
    <row r="253" spans="2:7" ht="14.25" customHeight="1" x14ac:dyDescent="0.3">
      <c r="B253" s="8"/>
      <c r="E253" s="8"/>
      <c r="G253" s="8"/>
    </row>
    <row r="254" spans="2:7" ht="14.25" customHeight="1" x14ac:dyDescent="0.3">
      <c r="B254" s="8"/>
      <c r="E254" s="8"/>
      <c r="G254" s="8"/>
    </row>
    <row r="255" spans="2:7" ht="14.25" customHeight="1" x14ac:dyDescent="0.3">
      <c r="B255" s="8"/>
      <c r="E255" s="8"/>
      <c r="G255" s="8"/>
    </row>
    <row r="256" spans="2:7" ht="14.25" customHeight="1" x14ac:dyDescent="0.3">
      <c r="B256" s="8"/>
      <c r="E256" s="8"/>
      <c r="G256" s="8"/>
    </row>
    <row r="257" spans="2:7" ht="14.25" customHeight="1" x14ac:dyDescent="0.3">
      <c r="B257" s="8"/>
      <c r="E257" s="8"/>
      <c r="G257" s="8"/>
    </row>
    <row r="258" spans="2:7" ht="14.25" customHeight="1" x14ac:dyDescent="0.3">
      <c r="B258" s="8"/>
      <c r="E258" s="8"/>
      <c r="G258" s="8"/>
    </row>
    <row r="259" spans="2:7" ht="14.25" customHeight="1" x14ac:dyDescent="0.3">
      <c r="B259" s="8"/>
      <c r="E259" s="8"/>
      <c r="G259" s="8"/>
    </row>
    <row r="260" spans="2:7" ht="14.25" customHeight="1" x14ac:dyDescent="0.3">
      <c r="B260" s="8"/>
      <c r="E260" s="8"/>
      <c r="G260" s="8"/>
    </row>
    <row r="261" spans="2:7" ht="14.25" customHeight="1" x14ac:dyDescent="0.3">
      <c r="B261" s="8"/>
      <c r="E261" s="8"/>
      <c r="G261" s="8"/>
    </row>
    <row r="262" spans="2:7" ht="14.25" customHeight="1" x14ac:dyDescent="0.3">
      <c r="B262" s="8"/>
      <c r="E262" s="8"/>
      <c r="G262" s="8"/>
    </row>
    <row r="263" spans="2:7" ht="14.25" customHeight="1" x14ac:dyDescent="0.3">
      <c r="B263" s="8"/>
      <c r="E263" s="8"/>
      <c r="G263" s="8"/>
    </row>
    <row r="264" spans="2:7" ht="14.25" customHeight="1" x14ac:dyDescent="0.3">
      <c r="B264" s="8"/>
      <c r="E264" s="8"/>
      <c r="G264" s="8"/>
    </row>
    <row r="265" spans="2:7" ht="14.25" customHeight="1" x14ac:dyDescent="0.3">
      <c r="B265" s="8"/>
      <c r="E265" s="8"/>
      <c r="G265" s="8"/>
    </row>
    <row r="266" spans="2:7" ht="14.25" customHeight="1" x14ac:dyDescent="0.3">
      <c r="B266" s="8"/>
      <c r="E266" s="8"/>
      <c r="G266" s="8"/>
    </row>
    <row r="267" spans="2:7" ht="14.25" customHeight="1" x14ac:dyDescent="0.3">
      <c r="B267" s="8"/>
      <c r="E267" s="8"/>
      <c r="G267" s="8"/>
    </row>
    <row r="268" spans="2:7" ht="14.25" customHeight="1" x14ac:dyDescent="0.3">
      <c r="B268" s="8"/>
      <c r="E268" s="8"/>
      <c r="G268" s="8"/>
    </row>
    <row r="269" spans="2:7" ht="14.25" customHeight="1" x14ac:dyDescent="0.3">
      <c r="B269" s="8"/>
      <c r="E269" s="8"/>
      <c r="G269" s="8"/>
    </row>
    <row r="270" spans="2:7" ht="14.25" customHeight="1" x14ac:dyDescent="0.3">
      <c r="B270" s="8"/>
      <c r="E270" s="8"/>
      <c r="G270" s="8"/>
    </row>
    <row r="271" spans="2:7" ht="14.25" customHeight="1" x14ac:dyDescent="0.3">
      <c r="B271" s="8"/>
      <c r="E271" s="8"/>
      <c r="G271" s="8"/>
    </row>
    <row r="272" spans="2:7" ht="14.25" customHeight="1" x14ac:dyDescent="0.3">
      <c r="B272" s="8"/>
      <c r="E272" s="8"/>
      <c r="G272" s="8"/>
    </row>
    <row r="273" spans="2:7" ht="14.25" customHeight="1" x14ac:dyDescent="0.3">
      <c r="B273" s="8"/>
      <c r="E273" s="8"/>
      <c r="G273" s="8"/>
    </row>
    <row r="274" spans="2:7" ht="14.25" customHeight="1" x14ac:dyDescent="0.3">
      <c r="B274" s="8"/>
      <c r="E274" s="8"/>
      <c r="G274" s="8"/>
    </row>
    <row r="275" spans="2:7" ht="14.25" customHeight="1" x14ac:dyDescent="0.3">
      <c r="B275" s="8"/>
      <c r="E275" s="8"/>
      <c r="G275" s="8"/>
    </row>
    <row r="276" spans="2:7" ht="14.25" customHeight="1" x14ac:dyDescent="0.3">
      <c r="B276" s="8"/>
      <c r="E276" s="8"/>
      <c r="G276" s="8"/>
    </row>
    <row r="277" spans="2:7" ht="14.25" customHeight="1" x14ac:dyDescent="0.3">
      <c r="B277" s="8"/>
      <c r="E277" s="8"/>
      <c r="G277" s="8"/>
    </row>
    <row r="278" spans="2:7" ht="14.25" customHeight="1" x14ac:dyDescent="0.3">
      <c r="B278" s="8"/>
      <c r="E278" s="8"/>
      <c r="G278" s="8"/>
    </row>
    <row r="279" spans="2:7" ht="14.25" customHeight="1" x14ac:dyDescent="0.3">
      <c r="B279" s="8"/>
      <c r="E279" s="8"/>
      <c r="G279" s="8"/>
    </row>
    <row r="280" spans="2:7" ht="14.25" customHeight="1" x14ac:dyDescent="0.3">
      <c r="B280" s="8"/>
      <c r="E280" s="8"/>
      <c r="G280" s="8"/>
    </row>
    <row r="281" spans="2:7" ht="14.25" customHeight="1" x14ac:dyDescent="0.3">
      <c r="B281" s="8"/>
      <c r="E281" s="8"/>
      <c r="G281" s="8"/>
    </row>
    <row r="282" spans="2:7" ht="14.25" customHeight="1" x14ac:dyDescent="0.3">
      <c r="B282" s="8"/>
      <c r="E282" s="8"/>
      <c r="G282" s="8"/>
    </row>
    <row r="283" spans="2:7" ht="14.25" customHeight="1" x14ac:dyDescent="0.3">
      <c r="B283" s="8"/>
      <c r="E283" s="8"/>
      <c r="G283" s="8"/>
    </row>
    <row r="284" spans="2:7" ht="14.25" customHeight="1" x14ac:dyDescent="0.3">
      <c r="B284" s="8"/>
      <c r="E284" s="8"/>
      <c r="G284" s="8"/>
    </row>
    <row r="285" spans="2:7" ht="14.25" customHeight="1" x14ac:dyDescent="0.3">
      <c r="B285" s="8"/>
      <c r="E285" s="8"/>
      <c r="G285" s="8"/>
    </row>
    <row r="286" spans="2:7" ht="14.25" customHeight="1" x14ac:dyDescent="0.3">
      <c r="B286" s="8"/>
      <c r="E286" s="8"/>
      <c r="G286" s="8"/>
    </row>
    <row r="287" spans="2:7" ht="14.25" customHeight="1" x14ac:dyDescent="0.3">
      <c r="B287" s="8"/>
      <c r="E287" s="8"/>
      <c r="G287" s="8"/>
    </row>
    <row r="288" spans="2:7" ht="14.25" customHeight="1" x14ac:dyDescent="0.3">
      <c r="B288" s="8"/>
      <c r="E288" s="8"/>
      <c r="G288" s="8"/>
    </row>
    <row r="289" spans="2:7" ht="14.25" customHeight="1" x14ac:dyDescent="0.3">
      <c r="B289" s="8"/>
      <c r="E289" s="8"/>
      <c r="G289" s="8"/>
    </row>
    <row r="290" spans="2:7" ht="14.25" customHeight="1" x14ac:dyDescent="0.3">
      <c r="B290" s="8"/>
      <c r="E290" s="8"/>
      <c r="G290" s="8"/>
    </row>
    <row r="291" spans="2:7" ht="14.25" customHeight="1" x14ac:dyDescent="0.3">
      <c r="B291" s="8"/>
      <c r="E291" s="8"/>
      <c r="G291" s="8"/>
    </row>
    <row r="292" spans="2:7" ht="14.25" customHeight="1" x14ac:dyDescent="0.3">
      <c r="B292" s="8"/>
      <c r="E292" s="8"/>
      <c r="G292" s="8"/>
    </row>
    <row r="293" spans="2:7" ht="14.25" customHeight="1" x14ac:dyDescent="0.3">
      <c r="B293" s="8"/>
      <c r="E293" s="8"/>
      <c r="G293" s="8"/>
    </row>
    <row r="294" spans="2:7" ht="14.25" customHeight="1" x14ac:dyDescent="0.3">
      <c r="B294" s="8"/>
      <c r="E294" s="8"/>
      <c r="G294" s="8"/>
    </row>
    <row r="295" spans="2:7" ht="14.25" customHeight="1" x14ac:dyDescent="0.3">
      <c r="B295" s="8"/>
      <c r="E295" s="8"/>
      <c r="G295" s="8"/>
    </row>
    <row r="296" spans="2:7" ht="14.25" customHeight="1" x14ac:dyDescent="0.3">
      <c r="B296" s="8"/>
      <c r="E296" s="8"/>
      <c r="G296" s="8"/>
    </row>
    <row r="297" spans="2:7" ht="14.25" customHeight="1" x14ac:dyDescent="0.3">
      <c r="B297" s="8"/>
      <c r="E297" s="8"/>
      <c r="G297" s="8"/>
    </row>
    <row r="298" spans="2:7" ht="14.25" customHeight="1" x14ac:dyDescent="0.3">
      <c r="B298" s="8"/>
      <c r="E298" s="8"/>
      <c r="G298" s="8"/>
    </row>
    <row r="299" spans="2:7" ht="14.25" customHeight="1" x14ac:dyDescent="0.3">
      <c r="B299" s="8"/>
      <c r="E299" s="8"/>
      <c r="G299" s="8"/>
    </row>
    <row r="300" spans="2:7" ht="14.25" customHeight="1" x14ac:dyDescent="0.3">
      <c r="B300" s="8"/>
      <c r="E300" s="8"/>
      <c r="G300" s="8"/>
    </row>
    <row r="301" spans="2:7" ht="14.25" customHeight="1" x14ac:dyDescent="0.3">
      <c r="B301" s="8"/>
      <c r="E301" s="8"/>
      <c r="G301" s="8"/>
    </row>
    <row r="302" spans="2:7" ht="14.25" customHeight="1" x14ac:dyDescent="0.3">
      <c r="B302" s="8"/>
      <c r="E302" s="8"/>
      <c r="G302" s="8"/>
    </row>
    <row r="303" spans="2:7" ht="14.25" customHeight="1" x14ac:dyDescent="0.3">
      <c r="B303" s="8"/>
      <c r="E303" s="8"/>
      <c r="G303" s="8"/>
    </row>
    <row r="304" spans="2:7" ht="14.25" customHeight="1" x14ac:dyDescent="0.3">
      <c r="B304" s="8"/>
      <c r="E304" s="8"/>
      <c r="G304" s="8"/>
    </row>
    <row r="305" spans="2:7" ht="14.25" customHeight="1" x14ac:dyDescent="0.3">
      <c r="B305" s="8"/>
      <c r="E305" s="8"/>
      <c r="G305" s="8"/>
    </row>
    <row r="306" spans="2:7" ht="14.25" customHeight="1" x14ac:dyDescent="0.3">
      <c r="B306" s="8"/>
      <c r="E306" s="8"/>
      <c r="G306" s="8"/>
    </row>
    <row r="307" spans="2:7" ht="14.25" customHeight="1" x14ac:dyDescent="0.3">
      <c r="B307" s="8"/>
      <c r="E307" s="8"/>
      <c r="G307" s="8"/>
    </row>
    <row r="308" spans="2:7" ht="14.25" customHeight="1" x14ac:dyDescent="0.3">
      <c r="B308" s="8"/>
      <c r="E308" s="8"/>
      <c r="G308" s="8"/>
    </row>
    <row r="309" spans="2:7" ht="14.25" customHeight="1" x14ac:dyDescent="0.3">
      <c r="B309" s="8"/>
      <c r="E309" s="8"/>
      <c r="G309" s="8"/>
    </row>
    <row r="310" spans="2:7" ht="14.25" customHeight="1" x14ac:dyDescent="0.3">
      <c r="B310" s="8"/>
      <c r="E310" s="8"/>
      <c r="G310" s="8"/>
    </row>
    <row r="311" spans="2:7" ht="14.25" customHeight="1" x14ac:dyDescent="0.3">
      <c r="B311" s="8"/>
      <c r="E311" s="8"/>
      <c r="G311" s="8"/>
    </row>
    <row r="312" spans="2:7" ht="14.25" customHeight="1" x14ac:dyDescent="0.3">
      <c r="B312" s="8"/>
      <c r="E312" s="8"/>
      <c r="G312" s="8"/>
    </row>
    <row r="313" spans="2:7" ht="14.25" customHeight="1" x14ac:dyDescent="0.3">
      <c r="B313" s="8"/>
      <c r="E313" s="8"/>
      <c r="G313" s="8"/>
    </row>
    <row r="314" spans="2:7" ht="14.25" customHeight="1" x14ac:dyDescent="0.3">
      <c r="B314" s="8"/>
      <c r="E314" s="8"/>
      <c r="G314" s="8"/>
    </row>
    <row r="315" spans="2:7" ht="14.25" customHeight="1" x14ac:dyDescent="0.3">
      <c r="B315" s="8"/>
      <c r="E315" s="8"/>
      <c r="G315" s="8"/>
    </row>
    <row r="316" spans="2:7" ht="14.25" customHeight="1" x14ac:dyDescent="0.3">
      <c r="B316" s="8"/>
      <c r="E316" s="8"/>
      <c r="G316" s="8"/>
    </row>
    <row r="317" spans="2:7" ht="14.25" customHeight="1" x14ac:dyDescent="0.3">
      <c r="B317" s="8"/>
      <c r="E317" s="8"/>
      <c r="G317" s="8"/>
    </row>
    <row r="318" spans="2:7" ht="14.25" customHeight="1" x14ac:dyDescent="0.3">
      <c r="B318" s="8"/>
      <c r="E318" s="8"/>
      <c r="G318" s="8"/>
    </row>
    <row r="319" spans="2:7" ht="14.25" customHeight="1" x14ac:dyDescent="0.3">
      <c r="B319" s="8"/>
      <c r="E319" s="8"/>
      <c r="G319" s="8"/>
    </row>
    <row r="320" spans="2:7" ht="14.25" customHeight="1" x14ac:dyDescent="0.3">
      <c r="B320" s="8"/>
      <c r="E320" s="8"/>
      <c r="G320" s="8"/>
    </row>
    <row r="321" spans="2:7" ht="14.25" customHeight="1" x14ac:dyDescent="0.3">
      <c r="B321" s="8"/>
      <c r="E321" s="8"/>
      <c r="G321" s="8"/>
    </row>
    <row r="322" spans="2:7" ht="14.25" customHeight="1" x14ac:dyDescent="0.3">
      <c r="B322" s="8"/>
      <c r="E322" s="8"/>
      <c r="G322" s="8"/>
    </row>
    <row r="323" spans="2:7" ht="14.25" customHeight="1" x14ac:dyDescent="0.3">
      <c r="B323" s="8"/>
      <c r="E323" s="8"/>
      <c r="G323" s="8"/>
    </row>
    <row r="324" spans="2:7" ht="14.25" customHeight="1" x14ac:dyDescent="0.3">
      <c r="B324" s="8"/>
      <c r="E324" s="8"/>
      <c r="G324" s="8"/>
    </row>
    <row r="325" spans="2:7" ht="14.25" customHeight="1" x14ac:dyDescent="0.3">
      <c r="B325" s="8"/>
      <c r="E325" s="8"/>
      <c r="G325" s="8"/>
    </row>
    <row r="326" spans="2:7" ht="14.25" customHeight="1" x14ac:dyDescent="0.3">
      <c r="B326" s="8"/>
      <c r="E326" s="8"/>
      <c r="G326" s="8"/>
    </row>
    <row r="327" spans="2:7" ht="14.25" customHeight="1" x14ac:dyDescent="0.3">
      <c r="B327" s="8"/>
      <c r="E327" s="8"/>
      <c r="G327" s="8"/>
    </row>
    <row r="328" spans="2:7" ht="14.25" customHeight="1" x14ac:dyDescent="0.3">
      <c r="B328" s="8"/>
      <c r="E328" s="8"/>
      <c r="G328" s="8"/>
    </row>
    <row r="329" spans="2:7" ht="14.25" customHeight="1" x14ac:dyDescent="0.3">
      <c r="B329" s="8"/>
      <c r="E329" s="8"/>
      <c r="G329" s="8"/>
    </row>
    <row r="330" spans="2:7" ht="14.25" customHeight="1" x14ac:dyDescent="0.3">
      <c r="B330" s="8"/>
      <c r="E330" s="8"/>
      <c r="G330" s="8"/>
    </row>
    <row r="331" spans="2:7" ht="14.25" customHeight="1" x14ac:dyDescent="0.3">
      <c r="B331" s="8"/>
      <c r="E331" s="8"/>
      <c r="G331" s="8"/>
    </row>
    <row r="332" spans="2:7" ht="14.25" customHeight="1" x14ac:dyDescent="0.3">
      <c r="B332" s="8"/>
      <c r="E332" s="8"/>
      <c r="G332" s="8"/>
    </row>
    <row r="333" spans="2:7" ht="14.25" customHeight="1" x14ac:dyDescent="0.3">
      <c r="B333" s="8"/>
      <c r="E333" s="8"/>
      <c r="G333" s="8"/>
    </row>
    <row r="334" spans="2:7" ht="14.25" customHeight="1" x14ac:dyDescent="0.3">
      <c r="B334" s="8"/>
      <c r="E334" s="8"/>
      <c r="G334" s="8"/>
    </row>
    <row r="335" spans="2:7" ht="14.25" customHeight="1" x14ac:dyDescent="0.3">
      <c r="B335" s="8"/>
      <c r="E335" s="8"/>
      <c r="G335" s="8"/>
    </row>
    <row r="336" spans="2:7" ht="14.25" customHeight="1" x14ac:dyDescent="0.3">
      <c r="B336" s="8"/>
      <c r="E336" s="8"/>
      <c r="G336" s="8"/>
    </row>
    <row r="337" spans="2:7" ht="14.25" customHeight="1" x14ac:dyDescent="0.3">
      <c r="B337" s="8"/>
      <c r="E337" s="8"/>
      <c r="G337" s="8"/>
    </row>
    <row r="338" spans="2:7" ht="14.25" customHeight="1" x14ac:dyDescent="0.3">
      <c r="B338" s="8"/>
      <c r="E338" s="8"/>
      <c r="G338" s="8"/>
    </row>
    <row r="339" spans="2:7" ht="14.25" customHeight="1" x14ac:dyDescent="0.3">
      <c r="B339" s="8"/>
      <c r="E339" s="8"/>
      <c r="G339" s="8"/>
    </row>
    <row r="340" spans="2:7" ht="14.25" customHeight="1" x14ac:dyDescent="0.3">
      <c r="B340" s="8"/>
      <c r="E340" s="8"/>
      <c r="G340" s="8"/>
    </row>
    <row r="341" spans="2:7" ht="14.25" customHeight="1" x14ac:dyDescent="0.3">
      <c r="B341" s="8"/>
      <c r="E341" s="8"/>
      <c r="G341" s="8"/>
    </row>
    <row r="342" spans="2:7" ht="14.25" customHeight="1" x14ac:dyDescent="0.3">
      <c r="B342" s="8"/>
      <c r="E342" s="8"/>
      <c r="G342" s="8"/>
    </row>
    <row r="343" spans="2:7" ht="14.25" customHeight="1" x14ac:dyDescent="0.3">
      <c r="B343" s="8"/>
      <c r="E343" s="8"/>
      <c r="G343" s="8"/>
    </row>
    <row r="344" spans="2:7" ht="14.25" customHeight="1" x14ac:dyDescent="0.3">
      <c r="B344" s="8"/>
      <c r="E344" s="8"/>
      <c r="G344" s="8"/>
    </row>
    <row r="345" spans="2:7" ht="14.25" customHeight="1" x14ac:dyDescent="0.3">
      <c r="B345" s="8"/>
      <c r="E345" s="8"/>
      <c r="G345" s="8"/>
    </row>
    <row r="346" spans="2:7" ht="14.25" customHeight="1" x14ac:dyDescent="0.3">
      <c r="B346" s="8"/>
      <c r="E346" s="8"/>
      <c r="G346" s="8"/>
    </row>
    <row r="347" spans="2:7" ht="14.25" customHeight="1" x14ac:dyDescent="0.3">
      <c r="B347" s="8"/>
      <c r="E347" s="8"/>
      <c r="G347" s="8"/>
    </row>
    <row r="348" spans="2:7" ht="14.25" customHeight="1" x14ac:dyDescent="0.3">
      <c r="B348" s="8"/>
      <c r="E348" s="8"/>
      <c r="G348" s="8"/>
    </row>
    <row r="349" spans="2:7" ht="14.25" customHeight="1" x14ac:dyDescent="0.3">
      <c r="B349" s="8"/>
      <c r="E349" s="8"/>
      <c r="G349" s="8"/>
    </row>
    <row r="350" spans="2:7" ht="14.25" customHeight="1" x14ac:dyDescent="0.3">
      <c r="B350" s="8"/>
      <c r="E350" s="8"/>
      <c r="G350" s="8"/>
    </row>
    <row r="351" spans="2:7" ht="14.25" customHeight="1" x14ac:dyDescent="0.3">
      <c r="B351" s="8"/>
      <c r="E351" s="8"/>
      <c r="G351" s="8"/>
    </row>
    <row r="352" spans="2:7" ht="14.25" customHeight="1" x14ac:dyDescent="0.3">
      <c r="B352" s="8"/>
      <c r="E352" s="8"/>
      <c r="G352" s="8"/>
    </row>
    <row r="353" spans="2:7" ht="14.25" customHeight="1" x14ac:dyDescent="0.3">
      <c r="B353" s="8"/>
      <c r="E353" s="8"/>
      <c r="G353" s="8"/>
    </row>
    <row r="354" spans="2:7" ht="14.25" customHeight="1" x14ac:dyDescent="0.3">
      <c r="B354" s="8"/>
      <c r="E354" s="8"/>
      <c r="G354" s="8"/>
    </row>
    <row r="355" spans="2:7" ht="14.25" customHeight="1" x14ac:dyDescent="0.3">
      <c r="B355" s="8"/>
      <c r="E355" s="8"/>
      <c r="G355" s="8"/>
    </row>
    <row r="356" spans="2:7" ht="14.25" customHeight="1" x14ac:dyDescent="0.3">
      <c r="B356" s="8"/>
      <c r="E356" s="8"/>
      <c r="G356" s="8"/>
    </row>
    <row r="357" spans="2:7" ht="14.25" customHeight="1" x14ac:dyDescent="0.3">
      <c r="B357" s="8"/>
      <c r="E357" s="8"/>
      <c r="G357" s="8"/>
    </row>
    <row r="358" spans="2:7" ht="14.25" customHeight="1" x14ac:dyDescent="0.3">
      <c r="B358" s="8"/>
      <c r="E358" s="8"/>
      <c r="G358" s="8"/>
    </row>
    <row r="359" spans="2:7" ht="14.25" customHeight="1" x14ac:dyDescent="0.3">
      <c r="B359" s="8"/>
      <c r="E359" s="8"/>
      <c r="G359" s="8"/>
    </row>
    <row r="360" spans="2:7" ht="14.25" customHeight="1" x14ac:dyDescent="0.3">
      <c r="B360" s="8"/>
      <c r="E360" s="8"/>
      <c r="G360" s="8"/>
    </row>
    <row r="361" spans="2:7" ht="14.25" customHeight="1" x14ac:dyDescent="0.3">
      <c r="B361" s="8"/>
      <c r="E361" s="8"/>
      <c r="G361" s="8"/>
    </row>
    <row r="362" spans="2:7" ht="14.25" customHeight="1" x14ac:dyDescent="0.3">
      <c r="B362" s="8"/>
      <c r="E362" s="8"/>
      <c r="G362" s="8"/>
    </row>
    <row r="363" spans="2:7" ht="14.25" customHeight="1" x14ac:dyDescent="0.3">
      <c r="B363" s="8"/>
      <c r="E363" s="8"/>
      <c r="G363" s="8"/>
    </row>
    <row r="364" spans="2:7" ht="14.25" customHeight="1" x14ac:dyDescent="0.3">
      <c r="B364" s="8"/>
      <c r="E364" s="8"/>
      <c r="G364" s="8"/>
    </row>
    <row r="365" spans="2:7" ht="14.25" customHeight="1" x14ac:dyDescent="0.3">
      <c r="B365" s="8"/>
      <c r="E365" s="8"/>
      <c r="G365" s="8"/>
    </row>
    <row r="366" spans="2:7" ht="14.25" customHeight="1" x14ac:dyDescent="0.3">
      <c r="B366" s="8"/>
      <c r="E366" s="8"/>
      <c r="G366" s="8"/>
    </row>
    <row r="367" spans="2:7" ht="14.25" customHeight="1" x14ac:dyDescent="0.3">
      <c r="B367" s="8"/>
      <c r="E367" s="8"/>
      <c r="G367" s="8"/>
    </row>
    <row r="368" spans="2:7" ht="14.25" customHeight="1" x14ac:dyDescent="0.3">
      <c r="B368" s="8"/>
      <c r="E368" s="8"/>
      <c r="G368" s="8"/>
    </row>
    <row r="369" spans="2:7" ht="14.25" customHeight="1" x14ac:dyDescent="0.3">
      <c r="B369" s="8"/>
      <c r="E369" s="8"/>
      <c r="G369" s="8"/>
    </row>
    <row r="370" spans="2:7" ht="14.25" customHeight="1" x14ac:dyDescent="0.3">
      <c r="B370" s="8"/>
      <c r="E370" s="8"/>
      <c r="G370" s="8"/>
    </row>
    <row r="371" spans="2:7" ht="14.25" customHeight="1" x14ac:dyDescent="0.3">
      <c r="B371" s="8"/>
      <c r="E371" s="8"/>
      <c r="G371" s="8"/>
    </row>
    <row r="372" spans="2:7" ht="14.25" customHeight="1" x14ac:dyDescent="0.3">
      <c r="B372" s="8"/>
      <c r="E372" s="8"/>
      <c r="G372" s="8"/>
    </row>
    <row r="373" spans="2:7" ht="14.25" customHeight="1" x14ac:dyDescent="0.3">
      <c r="B373" s="8"/>
      <c r="E373" s="8"/>
      <c r="G373" s="8"/>
    </row>
    <row r="374" spans="2:7" ht="14.25" customHeight="1" x14ac:dyDescent="0.3">
      <c r="B374" s="8"/>
      <c r="E374" s="8"/>
      <c r="G374" s="8"/>
    </row>
    <row r="375" spans="2:7" ht="14.25" customHeight="1" x14ac:dyDescent="0.3">
      <c r="B375" s="8"/>
      <c r="E375" s="8"/>
      <c r="G375" s="8"/>
    </row>
    <row r="376" spans="2:7" ht="14.25" customHeight="1" x14ac:dyDescent="0.3">
      <c r="B376" s="8"/>
      <c r="E376" s="8"/>
      <c r="G376" s="8"/>
    </row>
    <row r="377" spans="2:7" ht="14.25" customHeight="1" x14ac:dyDescent="0.3">
      <c r="B377" s="8"/>
      <c r="E377" s="8"/>
      <c r="G377" s="8"/>
    </row>
    <row r="378" spans="2:7" ht="14.25" customHeight="1" x14ac:dyDescent="0.3">
      <c r="B378" s="8"/>
      <c r="E378" s="8"/>
      <c r="G378" s="8"/>
    </row>
    <row r="379" spans="2:7" ht="14.25" customHeight="1" x14ac:dyDescent="0.3">
      <c r="B379" s="8"/>
      <c r="E379" s="8"/>
      <c r="G379" s="8"/>
    </row>
    <row r="380" spans="2:7" ht="14.25" customHeight="1" x14ac:dyDescent="0.3">
      <c r="B380" s="8"/>
      <c r="E380" s="8"/>
      <c r="G380" s="8"/>
    </row>
    <row r="381" spans="2:7" ht="14.25" customHeight="1" x14ac:dyDescent="0.3">
      <c r="B381" s="8"/>
      <c r="E381" s="8"/>
      <c r="G381" s="8"/>
    </row>
    <row r="382" spans="2:7" ht="14.25" customHeight="1" x14ac:dyDescent="0.3">
      <c r="B382" s="8"/>
      <c r="E382" s="8"/>
      <c r="G382" s="8"/>
    </row>
    <row r="383" spans="2:7" ht="14.25" customHeight="1" x14ac:dyDescent="0.3">
      <c r="B383" s="8"/>
      <c r="E383" s="8"/>
      <c r="G383" s="8"/>
    </row>
    <row r="384" spans="2:7" ht="14.25" customHeight="1" x14ac:dyDescent="0.3">
      <c r="B384" s="8"/>
      <c r="E384" s="8"/>
      <c r="G384" s="8"/>
    </row>
    <row r="385" spans="2:7" ht="14.25" customHeight="1" x14ac:dyDescent="0.3">
      <c r="B385" s="8"/>
      <c r="E385" s="8"/>
      <c r="G385" s="8"/>
    </row>
    <row r="386" spans="2:7" ht="14.25" customHeight="1" x14ac:dyDescent="0.3">
      <c r="B386" s="8"/>
      <c r="E386" s="8"/>
      <c r="G386" s="8"/>
    </row>
    <row r="387" spans="2:7" ht="14.25" customHeight="1" x14ac:dyDescent="0.3">
      <c r="B387" s="8"/>
      <c r="E387" s="8"/>
      <c r="G387" s="8"/>
    </row>
    <row r="388" spans="2:7" ht="14.25" customHeight="1" x14ac:dyDescent="0.3">
      <c r="B388" s="8"/>
      <c r="E388" s="8"/>
      <c r="G388" s="8"/>
    </row>
    <row r="389" spans="2:7" ht="14.25" customHeight="1" x14ac:dyDescent="0.3">
      <c r="B389" s="8"/>
      <c r="E389" s="8"/>
      <c r="G389" s="8"/>
    </row>
    <row r="390" spans="2:7" ht="14.25" customHeight="1" x14ac:dyDescent="0.3">
      <c r="B390" s="8"/>
      <c r="E390" s="8"/>
      <c r="G390" s="8"/>
    </row>
    <row r="391" spans="2:7" ht="14.25" customHeight="1" x14ac:dyDescent="0.3">
      <c r="B391" s="8"/>
      <c r="E391" s="8"/>
      <c r="G391" s="8"/>
    </row>
    <row r="392" spans="2:7" ht="14.25" customHeight="1" x14ac:dyDescent="0.3">
      <c r="B392" s="8"/>
      <c r="E392" s="8"/>
      <c r="G392" s="8"/>
    </row>
    <row r="393" spans="2:7" ht="14.25" customHeight="1" x14ac:dyDescent="0.3">
      <c r="B393" s="8"/>
      <c r="E393" s="8"/>
      <c r="G393" s="8"/>
    </row>
    <row r="394" spans="2:7" ht="14.25" customHeight="1" x14ac:dyDescent="0.3">
      <c r="B394" s="8"/>
      <c r="E394" s="8"/>
      <c r="G394" s="8"/>
    </row>
    <row r="395" spans="2:7" ht="14.25" customHeight="1" x14ac:dyDescent="0.3">
      <c r="B395" s="8"/>
      <c r="E395" s="8"/>
      <c r="G395" s="8"/>
    </row>
    <row r="396" spans="2:7" ht="14.25" customHeight="1" x14ac:dyDescent="0.3">
      <c r="B396" s="8"/>
      <c r="E396" s="8"/>
      <c r="G396" s="8"/>
    </row>
    <row r="397" spans="2:7" ht="14.25" customHeight="1" x14ac:dyDescent="0.3">
      <c r="B397" s="8"/>
      <c r="E397" s="8"/>
      <c r="G397" s="8"/>
    </row>
    <row r="398" spans="2:7" ht="14.25" customHeight="1" x14ac:dyDescent="0.3">
      <c r="B398" s="8"/>
      <c r="E398" s="8"/>
      <c r="G398" s="8"/>
    </row>
    <row r="399" spans="2:7" ht="14.25" customHeight="1" x14ac:dyDescent="0.3">
      <c r="B399" s="8"/>
      <c r="E399" s="8"/>
      <c r="G399" s="8"/>
    </row>
    <row r="400" spans="2:7" ht="14.25" customHeight="1" x14ac:dyDescent="0.3">
      <c r="B400" s="8"/>
      <c r="E400" s="8"/>
      <c r="G400" s="8"/>
    </row>
    <row r="401" spans="2:7" ht="14.25" customHeight="1" x14ac:dyDescent="0.3">
      <c r="B401" s="8"/>
      <c r="E401" s="8"/>
      <c r="G401" s="8"/>
    </row>
    <row r="402" spans="2:7" ht="14.25" customHeight="1" x14ac:dyDescent="0.3">
      <c r="B402" s="8"/>
      <c r="E402" s="8"/>
      <c r="G402" s="8"/>
    </row>
    <row r="403" spans="2:7" ht="14.25" customHeight="1" x14ac:dyDescent="0.3">
      <c r="B403" s="8"/>
      <c r="E403" s="8"/>
      <c r="G403" s="8"/>
    </row>
    <row r="404" spans="2:7" ht="14.25" customHeight="1" x14ac:dyDescent="0.3">
      <c r="B404" s="8"/>
      <c r="E404" s="8"/>
      <c r="G404" s="8"/>
    </row>
    <row r="405" spans="2:7" ht="14.25" customHeight="1" x14ac:dyDescent="0.3">
      <c r="B405" s="8"/>
      <c r="E405" s="8"/>
      <c r="G405" s="8"/>
    </row>
    <row r="406" spans="2:7" ht="14.25" customHeight="1" x14ac:dyDescent="0.3">
      <c r="B406" s="8"/>
      <c r="E406" s="8"/>
      <c r="G406" s="8"/>
    </row>
    <row r="407" spans="2:7" ht="14.25" customHeight="1" x14ac:dyDescent="0.3">
      <c r="B407" s="8"/>
      <c r="E407" s="8"/>
      <c r="G407" s="8"/>
    </row>
    <row r="408" spans="2:7" ht="14.25" customHeight="1" x14ac:dyDescent="0.3">
      <c r="B408" s="8"/>
      <c r="E408" s="8"/>
      <c r="G408" s="8"/>
    </row>
    <row r="409" spans="2:7" ht="14.25" customHeight="1" x14ac:dyDescent="0.3">
      <c r="B409" s="8"/>
      <c r="E409" s="8"/>
      <c r="G409" s="8"/>
    </row>
    <row r="410" spans="2:7" ht="14.25" customHeight="1" x14ac:dyDescent="0.3">
      <c r="B410" s="8"/>
      <c r="E410" s="8"/>
      <c r="G410" s="8"/>
    </row>
    <row r="411" spans="2:7" ht="14.25" customHeight="1" x14ac:dyDescent="0.3">
      <c r="B411" s="8"/>
      <c r="E411" s="8"/>
      <c r="G411" s="8"/>
    </row>
    <row r="412" spans="2:7" ht="14.25" customHeight="1" x14ac:dyDescent="0.3">
      <c r="B412" s="8"/>
      <c r="E412" s="8"/>
      <c r="G412" s="8"/>
    </row>
    <row r="413" spans="2:7" ht="14.25" customHeight="1" x14ac:dyDescent="0.3">
      <c r="B413" s="8"/>
      <c r="E413" s="8"/>
      <c r="G413" s="8"/>
    </row>
    <row r="414" spans="2:7" ht="14.25" customHeight="1" x14ac:dyDescent="0.3">
      <c r="B414" s="8"/>
      <c r="E414" s="8"/>
      <c r="G414" s="8"/>
    </row>
    <row r="415" spans="2:7" ht="14.25" customHeight="1" x14ac:dyDescent="0.3">
      <c r="B415" s="8"/>
      <c r="E415" s="8"/>
      <c r="G415" s="8"/>
    </row>
    <row r="416" spans="2:7" ht="14.25" customHeight="1" x14ac:dyDescent="0.3">
      <c r="B416" s="8"/>
      <c r="E416" s="8"/>
      <c r="G416" s="8"/>
    </row>
    <row r="417" spans="2:7" ht="14.25" customHeight="1" x14ac:dyDescent="0.3">
      <c r="B417" s="8"/>
      <c r="E417" s="8"/>
      <c r="G417" s="8"/>
    </row>
    <row r="418" spans="2:7" ht="14.25" customHeight="1" x14ac:dyDescent="0.3">
      <c r="B418" s="8"/>
      <c r="E418" s="8"/>
      <c r="G418" s="8"/>
    </row>
    <row r="419" spans="2:7" ht="14.25" customHeight="1" x14ac:dyDescent="0.3">
      <c r="B419" s="8"/>
      <c r="E419" s="8"/>
      <c r="G419" s="8"/>
    </row>
    <row r="420" spans="2:7" ht="14.25" customHeight="1" x14ac:dyDescent="0.3">
      <c r="B420" s="8"/>
      <c r="E420" s="8"/>
      <c r="G420" s="8"/>
    </row>
    <row r="421" spans="2:7" ht="14.25" customHeight="1" x14ac:dyDescent="0.3">
      <c r="B421" s="8"/>
      <c r="E421" s="8"/>
      <c r="G421" s="8"/>
    </row>
    <row r="422" spans="2:7" ht="14.25" customHeight="1" x14ac:dyDescent="0.3">
      <c r="B422" s="8"/>
      <c r="E422" s="8"/>
      <c r="G422" s="8"/>
    </row>
    <row r="423" spans="2:7" ht="14.25" customHeight="1" x14ac:dyDescent="0.3">
      <c r="B423" s="8"/>
      <c r="E423" s="8"/>
      <c r="G423" s="8"/>
    </row>
    <row r="424" spans="2:7" ht="14.25" customHeight="1" x14ac:dyDescent="0.3">
      <c r="B424" s="8"/>
      <c r="E424" s="8"/>
      <c r="G424" s="8"/>
    </row>
    <row r="425" spans="2:7" ht="14.25" customHeight="1" x14ac:dyDescent="0.3">
      <c r="B425" s="8"/>
      <c r="E425" s="8"/>
      <c r="G425" s="8"/>
    </row>
    <row r="426" spans="2:7" ht="14.25" customHeight="1" x14ac:dyDescent="0.3">
      <c r="B426" s="8"/>
      <c r="E426" s="8"/>
      <c r="G426" s="8"/>
    </row>
    <row r="427" spans="2:7" ht="14.25" customHeight="1" x14ac:dyDescent="0.3">
      <c r="B427" s="8"/>
      <c r="E427" s="8"/>
      <c r="G427" s="8"/>
    </row>
    <row r="428" spans="2:7" ht="14.25" customHeight="1" x14ac:dyDescent="0.3">
      <c r="B428" s="8"/>
      <c r="E428" s="8"/>
      <c r="G428" s="8"/>
    </row>
    <row r="429" spans="2:7" ht="14.25" customHeight="1" x14ac:dyDescent="0.3">
      <c r="B429" s="8"/>
      <c r="E429" s="8"/>
      <c r="G429" s="8"/>
    </row>
    <row r="430" spans="2:7" ht="14.25" customHeight="1" x14ac:dyDescent="0.3">
      <c r="B430" s="8"/>
      <c r="E430" s="8"/>
      <c r="G430" s="8"/>
    </row>
    <row r="431" spans="2:7" ht="14.25" customHeight="1" x14ac:dyDescent="0.3">
      <c r="B431" s="8"/>
      <c r="E431" s="8"/>
      <c r="G431" s="8"/>
    </row>
    <row r="432" spans="2:7" ht="14.25" customHeight="1" x14ac:dyDescent="0.3">
      <c r="B432" s="8"/>
      <c r="E432" s="8"/>
      <c r="G432" s="8"/>
    </row>
    <row r="433" spans="2:7" ht="14.25" customHeight="1" x14ac:dyDescent="0.3">
      <c r="B433" s="8"/>
      <c r="E433" s="8"/>
      <c r="G433" s="8"/>
    </row>
    <row r="434" spans="2:7" ht="14.25" customHeight="1" x14ac:dyDescent="0.3">
      <c r="B434" s="8"/>
      <c r="E434" s="8"/>
      <c r="G434" s="8"/>
    </row>
    <row r="435" spans="2:7" ht="14.25" customHeight="1" x14ac:dyDescent="0.3">
      <c r="B435" s="8"/>
      <c r="E435" s="8"/>
      <c r="G435" s="8"/>
    </row>
    <row r="436" spans="2:7" ht="14.25" customHeight="1" x14ac:dyDescent="0.3">
      <c r="B436" s="8"/>
      <c r="E436" s="8"/>
      <c r="G436" s="8"/>
    </row>
    <row r="437" spans="2:7" ht="14.25" customHeight="1" x14ac:dyDescent="0.3">
      <c r="B437" s="8"/>
      <c r="E437" s="8"/>
      <c r="G437" s="8"/>
    </row>
    <row r="438" spans="2:7" ht="14.25" customHeight="1" x14ac:dyDescent="0.3">
      <c r="B438" s="8"/>
      <c r="E438" s="8"/>
      <c r="G438" s="8"/>
    </row>
    <row r="439" spans="2:7" ht="14.25" customHeight="1" x14ac:dyDescent="0.3">
      <c r="B439" s="8"/>
      <c r="E439" s="8"/>
      <c r="G439" s="8"/>
    </row>
    <row r="440" spans="2:7" ht="14.25" customHeight="1" x14ac:dyDescent="0.3">
      <c r="B440" s="8"/>
      <c r="E440" s="8"/>
      <c r="G440" s="8"/>
    </row>
    <row r="441" spans="2:7" ht="14.25" customHeight="1" x14ac:dyDescent="0.3">
      <c r="B441" s="8"/>
      <c r="E441" s="8"/>
      <c r="G441" s="8"/>
    </row>
    <row r="442" spans="2:7" ht="14.25" customHeight="1" x14ac:dyDescent="0.3">
      <c r="B442" s="8"/>
      <c r="E442" s="8"/>
      <c r="G442" s="8"/>
    </row>
    <row r="443" spans="2:7" ht="14.25" customHeight="1" x14ac:dyDescent="0.3">
      <c r="B443" s="8"/>
      <c r="E443" s="8"/>
      <c r="G443" s="8"/>
    </row>
    <row r="444" spans="2:7" ht="14.25" customHeight="1" x14ac:dyDescent="0.3">
      <c r="B444" s="8"/>
      <c r="E444" s="8"/>
      <c r="G444" s="8"/>
    </row>
    <row r="445" spans="2:7" ht="14.25" customHeight="1" x14ac:dyDescent="0.3">
      <c r="B445" s="8"/>
      <c r="E445" s="8"/>
      <c r="G445" s="8"/>
    </row>
    <row r="446" spans="2:7" ht="14.25" customHeight="1" x14ac:dyDescent="0.3">
      <c r="B446" s="8"/>
      <c r="E446" s="8"/>
      <c r="G446" s="8"/>
    </row>
    <row r="447" spans="2:7" ht="14.25" customHeight="1" x14ac:dyDescent="0.3">
      <c r="B447" s="8"/>
      <c r="E447" s="8"/>
      <c r="G447" s="8"/>
    </row>
    <row r="448" spans="2:7" ht="14.25" customHeight="1" x14ac:dyDescent="0.3">
      <c r="B448" s="8"/>
      <c r="E448" s="8"/>
      <c r="G448" s="8"/>
    </row>
    <row r="449" spans="2:7" ht="14.25" customHeight="1" x14ac:dyDescent="0.3">
      <c r="B449" s="8"/>
      <c r="E449" s="8"/>
      <c r="G449" s="8"/>
    </row>
    <row r="450" spans="2:7" ht="14.25" customHeight="1" x14ac:dyDescent="0.3">
      <c r="B450" s="8"/>
      <c r="E450" s="8"/>
      <c r="G450" s="8"/>
    </row>
    <row r="451" spans="2:7" ht="14.25" customHeight="1" x14ac:dyDescent="0.3">
      <c r="B451" s="8"/>
      <c r="E451" s="8"/>
      <c r="G451" s="8"/>
    </row>
    <row r="452" spans="2:7" ht="14.25" customHeight="1" x14ac:dyDescent="0.3">
      <c r="B452" s="8"/>
      <c r="E452" s="8"/>
      <c r="G452" s="8"/>
    </row>
    <row r="453" spans="2:7" ht="14.25" customHeight="1" x14ac:dyDescent="0.3">
      <c r="B453" s="8"/>
      <c r="E453" s="8"/>
      <c r="G453" s="8"/>
    </row>
    <row r="454" spans="2:7" ht="14.25" customHeight="1" x14ac:dyDescent="0.3">
      <c r="B454" s="8"/>
      <c r="E454" s="8"/>
      <c r="G454" s="8"/>
    </row>
    <row r="455" spans="2:7" ht="14.25" customHeight="1" x14ac:dyDescent="0.3">
      <c r="B455" s="8"/>
      <c r="E455" s="8"/>
      <c r="G455" s="8"/>
    </row>
    <row r="456" spans="2:7" ht="14.25" customHeight="1" x14ac:dyDescent="0.3">
      <c r="B456" s="8"/>
      <c r="E456" s="8"/>
      <c r="G456" s="8"/>
    </row>
    <row r="457" spans="2:7" ht="14.25" customHeight="1" x14ac:dyDescent="0.3">
      <c r="B457" s="8"/>
      <c r="E457" s="8"/>
      <c r="G457" s="8"/>
    </row>
    <row r="458" spans="2:7" ht="14.25" customHeight="1" x14ac:dyDescent="0.3">
      <c r="B458" s="8"/>
      <c r="E458" s="8"/>
      <c r="G458" s="8"/>
    </row>
    <row r="459" spans="2:7" ht="14.25" customHeight="1" x14ac:dyDescent="0.3">
      <c r="B459" s="8"/>
      <c r="E459" s="8"/>
      <c r="G459" s="8"/>
    </row>
    <row r="460" spans="2:7" ht="14.25" customHeight="1" x14ac:dyDescent="0.3">
      <c r="B460" s="8"/>
      <c r="E460" s="8"/>
      <c r="G460" s="8"/>
    </row>
    <row r="461" spans="2:7" ht="14.25" customHeight="1" x14ac:dyDescent="0.3">
      <c r="B461" s="8"/>
      <c r="E461" s="8"/>
      <c r="G461" s="8"/>
    </row>
    <row r="462" spans="2:7" ht="14.25" customHeight="1" x14ac:dyDescent="0.3">
      <c r="B462" s="8"/>
      <c r="E462" s="8"/>
      <c r="G462" s="8"/>
    </row>
    <row r="463" spans="2:7" ht="14.25" customHeight="1" x14ac:dyDescent="0.3">
      <c r="B463" s="8"/>
      <c r="E463" s="8"/>
      <c r="G463" s="8"/>
    </row>
    <row r="464" spans="2:7" ht="14.25" customHeight="1" x14ac:dyDescent="0.3">
      <c r="B464" s="8"/>
      <c r="E464" s="8"/>
      <c r="G464" s="8"/>
    </row>
    <row r="465" spans="2:7" ht="14.25" customHeight="1" x14ac:dyDescent="0.3">
      <c r="B465" s="8"/>
      <c r="E465" s="8"/>
      <c r="G465" s="8"/>
    </row>
    <row r="466" spans="2:7" ht="14.25" customHeight="1" x14ac:dyDescent="0.3">
      <c r="B466" s="8"/>
      <c r="E466" s="8"/>
      <c r="G466" s="8"/>
    </row>
    <row r="467" spans="2:7" ht="14.25" customHeight="1" x14ac:dyDescent="0.3">
      <c r="B467" s="8"/>
      <c r="E467" s="8"/>
      <c r="G467" s="8"/>
    </row>
    <row r="468" spans="2:7" ht="14.25" customHeight="1" x14ac:dyDescent="0.3">
      <c r="B468" s="8"/>
      <c r="E468" s="8"/>
      <c r="G468" s="8"/>
    </row>
    <row r="469" spans="2:7" ht="14.25" customHeight="1" x14ac:dyDescent="0.3">
      <c r="B469" s="8"/>
      <c r="E469" s="8"/>
      <c r="G469" s="8"/>
    </row>
    <row r="470" spans="2:7" ht="14.25" customHeight="1" x14ac:dyDescent="0.3">
      <c r="B470" s="8"/>
      <c r="E470" s="8"/>
      <c r="G470" s="8"/>
    </row>
    <row r="471" spans="2:7" ht="14.25" customHeight="1" x14ac:dyDescent="0.3">
      <c r="B471" s="8"/>
      <c r="E471" s="8"/>
      <c r="G471" s="8"/>
    </row>
    <row r="472" spans="2:7" ht="14.25" customHeight="1" x14ac:dyDescent="0.3">
      <c r="B472" s="8"/>
      <c r="E472" s="8"/>
      <c r="G472" s="8"/>
    </row>
    <row r="473" spans="2:7" ht="14.25" customHeight="1" x14ac:dyDescent="0.3">
      <c r="B473" s="8"/>
      <c r="E473" s="8"/>
      <c r="G473" s="8"/>
    </row>
    <row r="474" spans="2:7" ht="14.25" customHeight="1" x14ac:dyDescent="0.3">
      <c r="B474" s="8"/>
      <c r="E474" s="8"/>
      <c r="G474" s="8"/>
    </row>
    <row r="475" spans="2:7" ht="14.25" customHeight="1" x14ac:dyDescent="0.3">
      <c r="B475" s="8"/>
      <c r="E475" s="8"/>
      <c r="G475" s="8"/>
    </row>
    <row r="476" spans="2:7" ht="14.25" customHeight="1" x14ac:dyDescent="0.3">
      <c r="B476" s="8"/>
      <c r="E476" s="8"/>
      <c r="G476" s="8"/>
    </row>
    <row r="477" spans="2:7" ht="14.25" customHeight="1" x14ac:dyDescent="0.3">
      <c r="B477" s="8"/>
      <c r="E477" s="8"/>
      <c r="G477" s="8"/>
    </row>
    <row r="478" spans="2:7" ht="14.25" customHeight="1" x14ac:dyDescent="0.3">
      <c r="B478" s="8"/>
      <c r="E478" s="8"/>
      <c r="G478" s="8"/>
    </row>
    <row r="479" spans="2:7" ht="14.25" customHeight="1" x14ac:dyDescent="0.3">
      <c r="B479" s="8"/>
      <c r="E479" s="8"/>
      <c r="G479" s="8"/>
    </row>
    <row r="480" spans="2:7" ht="14.25" customHeight="1" x14ac:dyDescent="0.3">
      <c r="B480" s="8"/>
      <c r="E480" s="8"/>
      <c r="G480" s="8"/>
    </row>
    <row r="481" spans="2:7" ht="14.25" customHeight="1" x14ac:dyDescent="0.3">
      <c r="B481" s="8"/>
      <c r="E481" s="8"/>
      <c r="G481" s="8"/>
    </row>
    <row r="482" spans="2:7" ht="14.25" customHeight="1" x14ac:dyDescent="0.3">
      <c r="B482" s="8"/>
      <c r="E482" s="8"/>
      <c r="G482" s="8"/>
    </row>
    <row r="483" spans="2:7" ht="14.25" customHeight="1" x14ac:dyDescent="0.3">
      <c r="B483" s="8"/>
      <c r="E483" s="8"/>
      <c r="G483" s="8"/>
    </row>
    <row r="484" spans="2:7" ht="14.25" customHeight="1" x14ac:dyDescent="0.3">
      <c r="B484" s="8"/>
      <c r="E484" s="8"/>
      <c r="G484" s="8"/>
    </row>
    <row r="485" spans="2:7" ht="14.25" customHeight="1" x14ac:dyDescent="0.3">
      <c r="B485" s="8"/>
      <c r="E485" s="8"/>
      <c r="G485" s="8"/>
    </row>
    <row r="486" spans="2:7" ht="14.25" customHeight="1" x14ac:dyDescent="0.3">
      <c r="B486" s="8"/>
      <c r="E486" s="8"/>
      <c r="G486" s="8"/>
    </row>
    <row r="487" spans="2:7" ht="14.25" customHeight="1" x14ac:dyDescent="0.3">
      <c r="B487" s="8"/>
      <c r="E487" s="8"/>
      <c r="G487" s="8"/>
    </row>
    <row r="488" spans="2:7" ht="14.25" customHeight="1" x14ac:dyDescent="0.3">
      <c r="B488" s="8"/>
      <c r="E488" s="8"/>
      <c r="G488" s="8"/>
    </row>
    <row r="489" spans="2:7" ht="14.25" customHeight="1" x14ac:dyDescent="0.3">
      <c r="B489" s="8"/>
      <c r="E489" s="8"/>
      <c r="G489" s="8"/>
    </row>
    <row r="490" spans="2:7" ht="14.25" customHeight="1" x14ac:dyDescent="0.3">
      <c r="B490" s="8"/>
      <c r="E490" s="8"/>
      <c r="G490" s="8"/>
    </row>
    <row r="491" spans="2:7" ht="14.25" customHeight="1" x14ac:dyDescent="0.3">
      <c r="B491" s="8"/>
      <c r="E491" s="8"/>
      <c r="G491" s="8"/>
    </row>
    <row r="492" spans="2:7" ht="14.25" customHeight="1" x14ac:dyDescent="0.3">
      <c r="B492" s="8"/>
      <c r="E492" s="8"/>
      <c r="G492" s="8"/>
    </row>
    <row r="493" spans="2:7" ht="14.25" customHeight="1" x14ac:dyDescent="0.3">
      <c r="B493" s="8"/>
      <c r="E493" s="8"/>
      <c r="G493" s="8"/>
    </row>
    <row r="494" spans="2:7" ht="14.25" customHeight="1" x14ac:dyDescent="0.3">
      <c r="B494" s="8"/>
      <c r="E494" s="8"/>
      <c r="G494" s="8"/>
    </row>
    <row r="495" spans="2:7" ht="14.25" customHeight="1" x14ac:dyDescent="0.3">
      <c r="B495" s="8"/>
      <c r="E495" s="8"/>
      <c r="G495" s="8"/>
    </row>
    <row r="496" spans="2:7" ht="14.25" customHeight="1" x14ac:dyDescent="0.3">
      <c r="B496" s="8"/>
      <c r="E496" s="8"/>
      <c r="G496" s="8"/>
    </row>
    <row r="497" spans="2:7" ht="14.25" customHeight="1" x14ac:dyDescent="0.3">
      <c r="B497" s="8"/>
      <c r="E497" s="8"/>
      <c r="G497" s="8"/>
    </row>
    <row r="498" spans="2:7" ht="14.25" customHeight="1" x14ac:dyDescent="0.3">
      <c r="B498" s="8"/>
      <c r="E498" s="8"/>
      <c r="G498" s="8"/>
    </row>
    <row r="499" spans="2:7" ht="14.25" customHeight="1" x14ac:dyDescent="0.3">
      <c r="B499" s="8"/>
      <c r="E499" s="8"/>
      <c r="G499" s="8"/>
    </row>
    <row r="500" spans="2:7" ht="14.25" customHeight="1" x14ac:dyDescent="0.3">
      <c r="B500" s="8"/>
      <c r="E500" s="8"/>
      <c r="G500" s="8"/>
    </row>
    <row r="501" spans="2:7" ht="14.25" customHeight="1" x14ac:dyDescent="0.3">
      <c r="B501" s="8"/>
      <c r="E501" s="8"/>
      <c r="G501" s="8"/>
    </row>
    <row r="502" spans="2:7" ht="14.25" customHeight="1" x14ac:dyDescent="0.3">
      <c r="B502" s="8"/>
      <c r="E502" s="8"/>
      <c r="G502" s="8"/>
    </row>
    <row r="503" spans="2:7" ht="14.25" customHeight="1" x14ac:dyDescent="0.3">
      <c r="B503" s="8"/>
      <c r="E503" s="8"/>
      <c r="G503" s="8"/>
    </row>
    <row r="504" spans="2:7" ht="14.25" customHeight="1" x14ac:dyDescent="0.3">
      <c r="B504" s="8"/>
      <c r="E504" s="8"/>
      <c r="G504" s="8"/>
    </row>
    <row r="505" spans="2:7" ht="14.25" customHeight="1" x14ac:dyDescent="0.3">
      <c r="B505" s="8"/>
      <c r="E505" s="8"/>
      <c r="G505" s="8"/>
    </row>
    <row r="506" spans="2:7" ht="14.25" customHeight="1" x14ac:dyDescent="0.3">
      <c r="B506" s="8"/>
      <c r="E506" s="8"/>
      <c r="G506" s="8"/>
    </row>
    <row r="507" spans="2:7" ht="14.25" customHeight="1" x14ac:dyDescent="0.3">
      <c r="B507" s="8"/>
      <c r="E507" s="8"/>
      <c r="G507" s="8"/>
    </row>
    <row r="508" spans="2:7" ht="14.25" customHeight="1" x14ac:dyDescent="0.3">
      <c r="B508" s="8"/>
      <c r="E508" s="8"/>
      <c r="G508" s="8"/>
    </row>
    <row r="509" spans="2:7" ht="14.25" customHeight="1" x14ac:dyDescent="0.3">
      <c r="B509" s="8"/>
      <c r="E509" s="8"/>
      <c r="G509" s="8"/>
    </row>
    <row r="510" spans="2:7" ht="14.25" customHeight="1" x14ac:dyDescent="0.3">
      <c r="B510" s="8"/>
      <c r="E510" s="8"/>
      <c r="G510" s="8"/>
    </row>
    <row r="511" spans="2:7" ht="14.25" customHeight="1" x14ac:dyDescent="0.3">
      <c r="B511" s="8"/>
      <c r="E511" s="8"/>
      <c r="G511" s="8"/>
    </row>
    <row r="512" spans="2:7" ht="14.25" customHeight="1" x14ac:dyDescent="0.3">
      <c r="B512" s="8"/>
      <c r="E512" s="8"/>
      <c r="G512" s="8"/>
    </row>
    <row r="513" spans="2:7" ht="14.25" customHeight="1" x14ac:dyDescent="0.3">
      <c r="B513" s="8"/>
      <c r="E513" s="8"/>
      <c r="G513" s="8"/>
    </row>
    <row r="514" spans="2:7" ht="14.25" customHeight="1" x14ac:dyDescent="0.3">
      <c r="B514" s="8"/>
      <c r="E514" s="8"/>
      <c r="G514" s="8"/>
    </row>
    <row r="515" spans="2:7" ht="14.25" customHeight="1" x14ac:dyDescent="0.3">
      <c r="B515" s="8"/>
      <c r="E515" s="8"/>
      <c r="G515" s="8"/>
    </row>
    <row r="516" spans="2:7" ht="14.25" customHeight="1" x14ac:dyDescent="0.3">
      <c r="B516" s="8"/>
      <c r="E516" s="8"/>
      <c r="G516" s="8"/>
    </row>
    <row r="517" spans="2:7" ht="14.25" customHeight="1" x14ac:dyDescent="0.3">
      <c r="B517" s="8"/>
      <c r="E517" s="8"/>
      <c r="G517" s="8"/>
    </row>
    <row r="518" spans="2:7" ht="14.25" customHeight="1" x14ac:dyDescent="0.3">
      <c r="B518" s="8"/>
      <c r="E518" s="8"/>
      <c r="G518" s="8"/>
    </row>
    <row r="519" spans="2:7" ht="14.25" customHeight="1" x14ac:dyDescent="0.3">
      <c r="B519" s="8"/>
      <c r="E519" s="8"/>
      <c r="G519" s="8"/>
    </row>
    <row r="520" spans="2:7" ht="14.25" customHeight="1" x14ac:dyDescent="0.3">
      <c r="B520" s="8"/>
      <c r="E520" s="8"/>
      <c r="G520" s="8"/>
    </row>
    <row r="521" spans="2:7" ht="14.25" customHeight="1" x14ac:dyDescent="0.3">
      <c r="B521" s="8"/>
      <c r="E521" s="8"/>
      <c r="G521" s="8"/>
    </row>
    <row r="522" spans="2:7" ht="14.25" customHeight="1" x14ac:dyDescent="0.3">
      <c r="B522" s="8"/>
      <c r="E522" s="8"/>
      <c r="G522" s="8"/>
    </row>
    <row r="523" spans="2:7" ht="14.25" customHeight="1" x14ac:dyDescent="0.3">
      <c r="B523" s="8"/>
      <c r="E523" s="8"/>
      <c r="G523" s="8"/>
    </row>
    <row r="524" spans="2:7" ht="14.25" customHeight="1" x14ac:dyDescent="0.3">
      <c r="B524" s="8"/>
      <c r="E524" s="8"/>
      <c r="G524" s="8"/>
    </row>
    <row r="525" spans="2:7" ht="14.25" customHeight="1" x14ac:dyDescent="0.3">
      <c r="B525" s="8"/>
      <c r="E525" s="8"/>
      <c r="G525" s="8"/>
    </row>
    <row r="526" spans="2:7" ht="14.25" customHeight="1" x14ac:dyDescent="0.3">
      <c r="B526" s="8"/>
      <c r="E526" s="8"/>
      <c r="G526" s="8"/>
    </row>
    <row r="527" spans="2:7" ht="14.25" customHeight="1" x14ac:dyDescent="0.3">
      <c r="B527" s="8"/>
      <c r="E527" s="8"/>
      <c r="G527" s="8"/>
    </row>
    <row r="528" spans="2:7" ht="14.25" customHeight="1" x14ac:dyDescent="0.3">
      <c r="B528" s="8"/>
      <c r="E528" s="8"/>
      <c r="G528" s="8"/>
    </row>
    <row r="529" spans="2:7" ht="14.25" customHeight="1" x14ac:dyDescent="0.3">
      <c r="B529" s="8"/>
      <c r="E529" s="8"/>
      <c r="G529" s="8"/>
    </row>
    <row r="530" spans="2:7" ht="14.25" customHeight="1" x14ac:dyDescent="0.3">
      <c r="B530" s="8"/>
      <c r="E530" s="8"/>
      <c r="G530" s="8"/>
    </row>
    <row r="531" spans="2:7" ht="14.25" customHeight="1" x14ac:dyDescent="0.3">
      <c r="B531" s="8"/>
      <c r="E531" s="8"/>
      <c r="G531" s="8"/>
    </row>
    <row r="532" spans="2:7" ht="14.25" customHeight="1" x14ac:dyDescent="0.3">
      <c r="B532" s="8"/>
      <c r="E532" s="8"/>
      <c r="G532" s="8"/>
    </row>
    <row r="533" spans="2:7" ht="14.25" customHeight="1" x14ac:dyDescent="0.3">
      <c r="B533" s="8"/>
      <c r="E533" s="8"/>
      <c r="G533" s="8"/>
    </row>
    <row r="534" spans="2:7" ht="14.25" customHeight="1" x14ac:dyDescent="0.3">
      <c r="B534" s="8"/>
      <c r="E534" s="8"/>
      <c r="G534" s="8"/>
    </row>
    <row r="535" spans="2:7" ht="14.25" customHeight="1" x14ac:dyDescent="0.3">
      <c r="B535" s="8"/>
      <c r="E535" s="8"/>
      <c r="G535" s="8"/>
    </row>
    <row r="536" spans="2:7" ht="14.25" customHeight="1" x14ac:dyDescent="0.3">
      <c r="B536" s="8"/>
      <c r="E536" s="8"/>
      <c r="G536" s="8"/>
    </row>
    <row r="537" spans="2:7" ht="14.25" customHeight="1" x14ac:dyDescent="0.3">
      <c r="B537" s="8"/>
      <c r="E537" s="8"/>
      <c r="G537" s="8"/>
    </row>
    <row r="538" spans="2:7" ht="14.25" customHeight="1" x14ac:dyDescent="0.3">
      <c r="B538" s="8"/>
      <c r="E538" s="8"/>
      <c r="G538" s="8"/>
    </row>
    <row r="539" spans="2:7" ht="14.25" customHeight="1" x14ac:dyDescent="0.3">
      <c r="B539" s="8"/>
      <c r="E539" s="8"/>
      <c r="G539" s="8"/>
    </row>
    <row r="540" spans="2:7" ht="14.25" customHeight="1" x14ac:dyDescent="0.3">
      <c r="B540" s="8"/>
      <c r="E540" s="8"/>
      <c r="G540" s="8"/>
    </row>
    <row r="541" spans="2:7" ht="14.25" customHeight="1" x14ac:dyDescent="0.3">
      <c r="B541" s="8"/>
      <c r="E541" s="8"/>
      <c r="G541" s="8"/>
    </row>
    <row r="542" spans="2:7" ht="14.25" customHeight="1" x14ac:dyDescent="0.3">
      <c r="B542" s="8"/>
      <c r="E542" s="8"/>
      <c r="G542" s="8"/>
    </row>
    <row r="543" spans="2:7" ht="14.25" customHeight="1" x14ac:dyDescent="0.3">
      <c r="B543" s="8"/>
      <c r="E543" s="8"/>
      <c r="G543" s="8"/>
    </row>
    <row r="544" spans="2:7" ht="14.25" customHeight="1" x14ac:dyDescent="0.3">
      <c r="B544" s="8"/>
      <c r="E544" s="8"/>
      <c r="G544" s="8"/>
    </row>
    <row r="545" spans="2:7" ht="14.25" customHeight="1" x14ac:dyDescent="0.3">
      <c r="B545" s="8"/>
      <c r="E545" s="8"/>
      <c r="G545" s="8"/>
    </row>
    <row r="546" spans="2:7" ht="14.25" customHeight="1" x14ac:dyDescent="0.3">
      <c r="B546" s="8"/>
      <c r="E546" s="8"/>
      <c r="G546" s="8"/>
    </row>
    <row r="547" spans="2:7" ht="14.25" customHeight="1" x14ac:dyDescent="0.3">
      <c r="B547" s="8"/>
      <c r="E547" s="8"/>
      <c r="G547" s="8"/>
    </row>
    <row r="548" spans="2:7" ht="14.25" customHeight="1" x14ac:dyDescent="0.3">
      <c r="B548" s="8"/>
      <c r="E548" s="8"/>
      <c r="G548" s="8"/>
    </row>
    <row r="549" spans="2:7" ht="14.25" customHeight="1" x14ac:dyDescent="0.3">
      <c r="B549" s="8"/>
      <c r="E549" s="8"/>
      <c r="G549" s="8"/>
    </row>
    <row r="550" spans="2:7" ht="14.25" customHeight="1" x14ac:dyDescent="0.3">
      <c r="B550" s="8"/>
      <c r="E550" s="8"/>
      <c r="G550" s="8"/>
    </row>
    <row r="551" spans="2:7" ht="14.25" customHeight="1" x14ac:dyDescent="0.3">
      <c r="B551" s="8"/>
      <c r="E551" s="8"/>
      <c r="G551" s="8"/>
    </row>
    <row r="552" spans="2:7" ht="14.25" customHeight="1" x14ac:dyDescent="0.3">
      <c r="B552" s="8"/>
      <c r="E552" s="8"/>
      <c r="G552" s="8"/>
    </row>
    <row r="553" spans="2:7" ht="14.25" customHeight="1" x14ac:dyDescent="0.3">
      <c r="B553" s="8"/>
      <c r="E553" s="8"/>
      <c r="G553" s="8"/>
    </row>
    <row r="554" spans="2:7" ht="14.25" customHeight="1" x14ac:dyDescent="0.3">
      <c r="B554" s="8"/>
      <c r="E554" s="8"/>
      <c r="G554" s="8"/>
    </row>
    <row r="555" spans="2:7" ht="14.25" customHeight="1" x14ac:dyDescent="0.3">
      <c r="B555" s="8"/>
      <c r="E555" s="8"/>
      <c r="G555" s="8"/>
    </row>
    <row r="556" spans="2:7" ht="14.25" customHeight="1" x14ac:dyDescent="0.3">
      <c r="B556" s="8"/>
      <c r="E556" s="8"/>
      <c r="G556" s="8"/>
    </row>
    <row r="557" spans="2:7" ht="14.25" customHeight="1" x14ac:dyDescent="0.3">
      <c r="B557" s="8"/>
      <c r="E557" s="8"/>
      <c r="G557" s="8"/>
    </row>
    <row r="558" spans="2:7" ht="14.25" customHeight="1" x14ac:dyDescent="0.3">
      <c r="B558" s="8"/>
      <c r="E558" s="8"/>
      <c r="G558" s="8"/>
    </row>
    <row r="559" spans="2:7" ht="14.25" customHeight="1" x14ac:dyDescent="0.3">
      <c r="B559" s="8"/>
      <c r="E559" s="8"/>
      <c r="G559" s="8"/>
    </row>
    <row r="560" spans="2:7" ht="14.25" customHeight="1" x14ac:dyDescent="0.3">
      <c r="B560" s="8"/>
      <c r="E560" s="8"/>
      <c r="G560" s="8"/>
    </row>
    <row r="561" spans="2:7" ht="14.25" customHeight="1" x14ac:dyDescent="0.3">
      <c r="B561" s="8"/>
      <c r="E561" s="8"/>
      <c r="G561" s="8"/>
    </row>
    <row r="562" spans="2:7" ht="14.25" customHeight="1" x14ac:dyDescent="0.3">
      <c r="B562" s="8"/>
      <c r="E562" s="8"/>
      <c r="G562" s="8"/>
    </row>
    <row r="563" spans="2:7" ht="14.25" customHeight="1" x14ac:dyDescent="0.3">
      <c r="B563" s="8"/>
      <c r="E563" s="8"/>
      <c r="G563" s="8"/>
    </row>
    <row r="564" spans="2:7" ht="14.25" customHeight="1" x14ac:dyDescent="0.3">
      <c r="B564" s="8"/>
      <c r="E564" s="8"/>
      <c r="G564" s="8"/>
    </row>
    <row r="565" spans="2:7" ht="14.25" customHeight="1" x14ac:dyDescent="0.3">
      <c r="B565" s="8"/>
      <c r="E565" s="8"/>
      <c r="G565" s="8"/>
    </row>
    <row r="566" spans="2:7" ht="14.25" customHeight="1" x14ac:dyDescent="0.3">
      <c r="B566" s="8"/>
      <c r="E566" s="8"/>
      <c r="G566" s="8"/>
    </row>
    <row r="567" spans="2:7" ht="14.25" customHeight="1" x14ac:dyDescent="0.3">
      <c r="B567" s="8"/>
      <c r="E567" s="8"/>
      <c r="G567" s="8"/>
    </row>
    <row r="568" spans="2:7" ht="14.25" customHeight="1" x14ac:dyDescent="0.3">
      <c r="B568" s="8"/>
      <c r="E568" s="8"/>
      <c r="G568" s="8"/>
    </row>
    <row r="569" spans="2:7" ht="14.25" customHeight="1" x14ac:dyDescent="0.3">
      <c r="B569" s="8"/>
      <c r="E569" s="8"/>
      <c r="G569" s="8"/>
    </row>
    <row r="570" spans="2:7" ht="14.25" customHeight="1" x14ac:dyDescent="0.3">
      <c r="B570" s="8"/>
      <c r="E570" s="8"/>
      <c r="G570" s="8"/>
    </row>
    <row r="571" spans="2:7" ht="14.25" customHeight="1" x14ac:dyDescent="0.3">
      <c r="B571" s="8"/>
      <c r="E571" s="8"/>
      <c r="G571" s="8"/>
    </row>
    <row r="572" spans="2:7" ht="14.25" customHeight="1" x14ac:dyDescent="0.3">
      <c r="B572" s="8"/>
      <c r="E572" s="8"/>
      <c r="G572" s="8"/>
    </row>
    <row r="573" spans="2:7" ht="14.25" customHeight="1" x14ac:dyDescent="0.3">
      <c r="B573" s="8"/>
      <c r="E573" s="8"/>
      <c r="G573" s="8"/>
    </row>
    <row r="574" spans="2:7" ht="14.25" customHeight="1" x14ac:dyDescent="0.3">
      <c r="B574" s="8"/>
      <c r="E574" s="8"/>
      <c r="G574" s="8"/>
    </row>
    <row r="575" spans="2:7" ht="14.25" customHeight="1" x14ac:dyDescent="0.3">
      <c r="B575" s="8"/>
      <c r="E575" s="8"/>
      <c r="G575" s="8"/>
    </row>
    <row r="576" spans="2:7" ht="14.25" customHeight="1" x14ac:dyDescent="0.3">
      <c r="B576" s="8"/>
      <c r="E576" s="8"/>
      <c r="G576" s="8"/>
    </row>
    <row r="577" spans="2:7" ht="14.25" customHeight="1" x14ac:dyDescent="0.3">
      <c r="B577" s="8"/>
      <c r="E577" s="8"/>
      <c r="G577" s="8"/>
    </row>
    <row r="578" spans="2:7" ht="14.25" customHeight="1" x14ac:dyDescent="0.3">
      <c r="B578" s="8"/>
      <c r="E578" s="8"/>
      <c r="G578" s="8"/>
    </row>
    <row r="579" spans="2:7" ht="14.25" customHeight="1" x14ac:dyDescent="0.3">
      <c r="B579" s="8"/>
      <c r="E579" s="8"/>
      <c r="G579" s="8"/>
    </row>
    <row r="580" spans="2:7" ht="14.25" customHeight="1" x14ac:dyDescent="0.3">
      <c r="B580" s="8"/>
      <c r="E580" s="8"/>
      <c r="G580" s="8"/>
    </row>
    <row r="581" spans="2:7" ht="14.25" customHeight="1" x14ac:dyDescent="0.3">
      <c r="B581" s="8"/>
      <c r="E581" s="8"/>
      <c r="G581" s="8"/>
    </row>
    <row r="582" spans="2:7" ht="14.25" customHeight="1" x14ac:dyDescent="0.3">
      <c r="B582" s="8"/>
      <c r="E582" s="8"/>
      <c r="G582" s="8"/>
    </row>
    <row r="583" spans="2:7" ht="14.25" customHeight="1" x14ac:dyDescent="0.3">
      <c r="B583" s="8"/>
      <c r="E583" s="8"/>
      <c r="G583" s="8"/>
    </row>
    <row r="584" spans="2:7" ht="14.25" customHeight="1" x14ac:dyDescent="0.3">
      <c r="B584" s="8"/>
      <c r="E584" s="8"/>
      <c r="G584" s="8"/>
    </row>
    <row r="585" spans="2:7" ht="14.25" customHeight="1" x14ac:dyDescent="0.3">
      <c r="B585" s="8"/>
      <c r="E585" s="8"/>
      <c r="G585" s="8"/>
    </row>
    <row r="586" spans="2:7" ht="14.25" customHeight="1" x14ac:dyDescent="0.3">
      <c r="B586" s="8"/>
      <c r="E586" s="8"/>
      <c r="G586" s="8"/>
    </row>
    <row r="587" spans="2:7" ht="14.25" customHeight="1" x14ac:dyDescent="0.3">
      <c r="B587" s="8"/>
      <c r="E587" s="8"/>
      <c r="G587" s="8"/>
    </row>
    <row r="588" spans="2:7" ht="14.25" customHeight="1" x14ac:dyDescent="0.3">
      <c r="B588" s="8"/>
      <c r="E588" s="8"/>
      <c r="G588" s="8"/>
    </row>
    <row r="589" spans="2:7" ht="14.25" customHeight="1" x14ac:dyDescent="0.3">
      <c r="B589" s="8"/>
      <c r="E589" s="8"/>
      <c r="G589" s="8"/>
    </row>
    <row r="590" spans="2:7" ht="14.25" customHeight="1" x14ac:dyDescent="0.3">
      <c r="B590" s="8"/>
      <c r="E590" s="8"/>
      <c r="G590" s="8"/>
    </row>
    <row r="591" spans="2:7" ht="14.25" customHeight="1" x14ac:dyDescent="0.3">
      <c r="B591" s="8"/>
      <c r="E591" s="8"/>
      <c r="G591" s="8"/>
    </row>
    <row r="592" spans="2:7" ht="14.25" customHeight="1" x14ac:dyDescent="0.3">
      <c r="B592" s="8"/>
      <c r="E592" s="8"/>
      <c r="G592" s="8"/>
    </row>
    <row r="593" spans="2:7" ht="14.25" customHeight="1" x14ac:dyDescent="0.3">
      <c r="B593" s="8"/>
      <c r="E593" s="8"/>
      <c r="G593" s="8"/>
    </row>
    <row r="594" spans="2:7" ht="14.25" customHeight="1" x14ac:dyDescent="0.3">
      <c r="B594" s="8"/>
      <c r="E594" s="8"/>
      <c r="G594" s="8"/>
    </row>
    <row r="595" spans="2:7" ht="14.25" customHeight="1" x14ac:dyDescent="0.3">
      <c r="B595" s="8"/>
      <c r="E595" s="8"/>
      <c r="G595" s="8"/>
    </row>
    <row r="596" spans="2:7" ht="14.25" customHeight="1" x14ac:dyDescent="0.3">
      <c r="B596" s="8"/>
      <c r="E596" s="8"/>
      <c r="G596" s="8"/>
    </row>
    <row r="597" spans="2:7" ht="14.25" customHeight="1" x14ac:dyDescent="0.3">
      <c r="B597" s="8"/>
      <c r="E597" s="8"/>
      <c r="G597" s="8"/>
    </row>
    <row r="598" spans="2:7" ht="14.25" customHeight="1" x14ac:dyDescent="0.3">
      <c r="B598" s="8"/>
      <c r="E598" s="8"/>
      <c r="G598" s="8"/>
    </row>
    <row r="599" spans="2:7" ht="14.25" customHeight="1" x14ac:dyDescent="0.3">
      <c r="B599" s="8"/>
      <c r="E599" s="8"/>
      <c r="G599" s="8"/>
    </row>
    <row r="600" spans="2:7" ht="14.25" customHeight="1" x14ac:dyDescent="0.3">
      <c r="B600" s="8"/>
      <c r="E600" s="8"/>
      <c r="G600" s="8"/>
    </row>
    <row r="601" spans="2:7" ht="14.25" customHeight="1" x14ac:dyDescent="0.3">
      <c r="B601" s="8"/>
      <c r="E601" s="8"/>
      <c r="G601" s="8"/>
    </row>
    <row r="602" spans="2:7" ht="14.25" customHeight="1" x14ac:dyDescent="0.3">
      <c r="B602" s="8"/>
      <c r="E602" s="8"/>
      <c r="G602" s="8"/>
    </row>
    <row r="603" spans="2:7" ht="14.25" customHeight="1" x14ac:dyDescent="0.3">
      <c r="B603" s="8"/>
      <c r="E603" s="8"/>
      <c r="G603" s="8"/>
    </row>
    <row r="604" spans="2:7" ht="14.25" customHeight="1" x14ac:dyDescent="0.3">
      <c r="B604" s="8"/>
      <c r="E604" s="8"/>
      <c r="G604" s="8"/>
    </row>
    <row r="605" spans="2:7" ht="14.25" customHeight="1" x14ac:dyDescent="0.3">
      <c r="B605" s="8"/>
      <c r="E605" s="8"/>
      <c r="G605" s="8"/>
    </row>
    <row r="606" spans="2:7" ht="14.25" customHeight="1" x14ac:dyDescent="0.3">
      <c r="B606" s="8"/>
      <c r="E606" s="8"/>
      <c r="G606" s="8"/>
    </row>
    <row r="607" spans="2:7" ht="14.25" customHeight="1" x14ac:dyDescent="0.3">
      <c r="B607" s="8"/>
      <c r="E607" s="8"/>
      <c r="G607" s="8"/>
    </row>
    <row r="608" spans="2:7" ht="14.25" customHeight="1" x14ac:dyDescent="0.3">
      <c r="B608" s="8"/>
      <c r="E608" s="8"/>
      <c r="G608" s="8"/>
    </row>
    <row r="609" spans="2:7" ht="14.25" customHeight="1" x14ac:dyDescent="0.3">
      <c r="B609" s="8"/>
      <c r="E609" s="8"/>
      <c r="G609" s="8"/>
    </row>
    <row r="610" spans="2:7" ht="14.25" customHeight="1" x14ac:dyDescent="0.3">
      <c r="B610" s="8"/>
      <c r="E610" s="8"/>
      <c r="G610" s="8"/>
    </row>
    <row r="611" spans="2:7" ht="14.25" customHeight="1" x14ac:dyDescent="0.3">
      <c r="B611" s="8"/>
      <c r="E611" s="8"/>
      <c r="G611" s="8"/>
    </row>
    <row r="612" spans="2:7" ht="14.25" customHeight="1" x14ac:dyDescent="0.3">
      <c r="B612" s="8"/>
      <c r="E612" s="8"/>
      <c r="G612" s="8"/>
    </row>
    <row r="613" spans="2:7" ht="14.25" customHeight="1" x14ac:dyDescent="0.3">
      <c r="B613" s="8"/>
      <c r="E613" s="8"/>
      <c r="G613" s="8"/>
    </row>
    <row r="614" spans="2:7" ht="14.25" customHeight="1" x14ac:dyDescent="0.3">
      <c r="B614" s="8"/>
      <c r="E614" s="8"/>
      <c r="G614" s="8"/>
    </row>
    <row r="615" spans="2:7" ht="14.25" customHeight="1" x14ac:dyDescent="0.3">
      <c r="B615" s="8"/>
      <c r="E615" s="8"/>
      <c r="G615" s="8"/>
    </row>
    <row r="616" spans="2:7" ht="14.25" customHeight="1" x14ac:dyDescent="0.3">
      <c r="B616" s="8"/>
      <c r="E616" s="8"/>
      <c r="G616" s="8"/>
    </row>
    <row r="617" spans="2:7" ht="14.25" customHeight="1" x14ac:dyDescent="0.3">
      <c r="B617" s="8"/>
      <c r="E617" s="8"/>
      <c r="G617" s="8"/>
    </row>
    <row r="618" spans="2:7" ht="14.25" customHeight="1" x14ac:dyDescent="0.3">
      <c r="B618" s="8"/>
      <c r="E618" s="8"/>
      <c r="G618" s="8"/>
    </row>
    <row r="619" spans="2:7" ht="14.25" customHeight="1" x14ac:dyDescent="0.3">
      <c r="B619" s="8"/>
      <c r="E619" s="8"/>
      <c r="G619" s="8"/>
    </row>
    <row r="620" spans="2:7" ht="14.25" customHeight="1" x14ac:dyDescent="0.3">
      <c r="B620" s="8"/>
      <c r="E620" s="8"/>
      <c r="G620" s="8"/>
    </row>
    <row r="621" spans="2:7" ht="14.25" customHeight="1" x14ac:dyDescent="0.3">
      <c r="B621" s="8"/>
      <c r="E621" s="8"/>
      <c r="G621" s="8"/>
    </row>
    <row r="622" spans="2:7" ht="14.25" customHeight="1" x14ac:dyDescent="0.3">
      <c r="B622" s="8"/>
      <c r="E622" s="8"/>
      <c r="G622" s="8"/>
    </row>
    <row r="623" spans="2:7" ht="14.25" customHeight="1" x14ac:dyDescent="0.3">
      <c r="B623" s="8"/>
      <c r="E623" s="8"/>
      <c r="G623" s="8"/>
    </row>
    <row r="624" spans="2:7" ht="14.25" customHeight="1" x14ac:dyDescent="0.3">
      <c r="B624" s="8"/>
      <c r="E624" s="8"/>
      <c r="G624" s="8"/>
    </row>
    <row r="625" spans="2:7" ht="14.25" customHeight="1" x14ac:dyDescent="0.3">
      <c r="B625" s="8"/>
      <c r="E625" s="8"/>
      <c r="G625" s="8"/>
    </row>
    <row r="626" spans="2:7" ht="14.25" customHeight="1" x14ac:dyDescent="0.3">
      <c r="B626" s="8"/>
      <c r="E626" s="8"/>
      <c r="G626" s="8"/>
    </row>
    <row r="627" spans="2:7" ht="14.25" customHeight="1" x14ac:dyDescent="0.3">
      <c r="B627" s="8"/>
      <c r="E627" s="8"/>
      <c r="G627" s="8"/>
    </row>
    <row r="628" spans="2:7" ht="14.25" customHeight="1" x14ac:dyDescent="0.3">
      <c r="B628" s="8"/>
      <c r="E628" s="8"/>
      <c r="G628" s="8"/>
    </row>
    <row r="629" spans="2:7" ht="14.25" customHeight="1" x14ac:dyDescent="0.3">
      <c r="B629" s="8"/>
      <c r="E629" s="8"/>
      <c r="G629" s="8"/>
    </row>
    <row r="630" spans="2:7" ht="14.25" customHeight="1" x14ac:dyDescent="0.3">
      <c r="B630" s="8"/>
      <c r="E630" s="8"/>
      <c r="G630" s="8"/>
    </row>
    <row r="631" spans="2:7" ht="14.25" customHeight="1" x14ac:dyDescent="0.3">
      <c r="B631" s="8"/>
      <c r="E631" s="8"/>
      <c r="G631" s="8"/>
    </row>
    <row r="632" spans="2:7" ht="14.25" customHeight="1" x14ac:dyDescent="0.3">
      <c r="B632" s="8"/>
      <c r="E632" s="8"/>
      <c r="G632" s="8"/>
    </row>
    <row r="633" spans="2:7" ht="14.25" customHeight="1" x14ac:dyDescent="0.3">
      <c r="B633" s="8"/>
      <c r="E633" s="8"/>
      <c r="G633" s="8"/>
    </row>
    <row r="634" spans="2:7" ht="14.25" customHeight="1" x14ac:dyDescent="0.3">
      <c r="B634" s="8"/>
      <c r="E634" s="8"/>
      <c r="G634" s="8"/>
    </row>
    <row r="635" spans="2:7" ht="14.25" customHeight="1" x14ac:dyDescent="0.3">
      <c r="B635" s="8"/>
      <c r="E635" s="8"/>
      <c r="G635" s="8"/>
    </row>
    <row r="636" spans="2:7" ht="14.25" customHeight="1" x14ac:dyDescent="0.3">
      <c r="B636" s="8"/>
      <c r="E636" s="8"/>
      <c r="G636" s="8"/>
    </row>
    <row r="637" spans="2:7" ht="14.25" customHeight="1" x14ac:dyDescent="0.3">
      <c r="B637" s="8"/>
      <c r="E637" s="8"/>
      <c r="G637" s="8"/>
    </row>
    <row r="638" spans="2:7" ht="14.25" customHeight="1" x14ac:dyDescent="0.3">
      <c r="B638" s="8"/>
      <c r="E638" s="8"/>
      <c r="G638" s="8"/>
    </row>
    <row r="639" spans="2:7" ht="14.25" customHeight="1" x14ac:dyDescent="0.3">
      <c r="B639" s="8"/>
      <c r="E639" s="8"/>
      <c r="G639" s="8"/>
    </row>
    <row r="640" spans="2:7" ht="14.25" customHeight="1" x14ac:dyDescent="0.3">
      <c r="B640" s="8"/>
      <c r="E640" s="8"/>
      <c r="G640" s="8"/>
    </row>
    <row r="641" spans="2:7" ht="14.25" customHeight="1" x14ac:dyDescent="0.3">
      <c r="B641" s="8"/>
      <c r="E641" s="8"/>
      <c r="G641" s="8"/>
    </row>
    <row r="642" spans="2:7" ht="14.25" customHeight="1" x14ac:dyDescent="0.3">
      <c r="B642" s="8"/>
      <c r="E642" s="8"/>
      <c r="G642" s="8"/>
    </row>
    <row r="643" spans="2:7" ht="14.25" customHeight="1" x14ac:dyDescent="0.3">
      <c r="B643" s="8"/>
      <c r="E643" s="8"/>
      <c r="G643" s="8"/>
    </row>
    <row r="644" spans="2:7" ht="14.25" customHeight="1" x14ac:dyDescent="0.3">
      <c r="B644" s="8"/>
      <c r="E644" s="8"/>
      <c r="G644" s="8"/>
    </row>
    <row r="645" spans="2:7" ht="14.25" customHeight="1" x14ac:dyDescent="0.3">
      <c r="B645" s="8"/>
      <c r="E645" s="8"/>
      <c r="G645" s="8"/>
    </row>
    <row r="646" spans="2:7" ht="14.25" customHeight="1" x14ac:dyDescent="0.3">
      <c r="B646" s="8"/>
      <c r="E646" s="8"/>
      <c r="G646" s="8"/>
    </row>
    <row r="647" spans="2:7" ht="14.25" customHeight="1" x14ac:dyDescent="0.3">
      <c r="B647" s="8"/>
      <c r="E647" s="8"/>
      <c r="G647" s="8"/>
    </row>
    <row r="648" spans="2:7" ht="14.25" customHeight="1" x14ac:dyDescent="0.3">
      <c r="B648" s="8"/>
      <c r="E648" s="8"/>
      <c r="G648" s="8"/>
    </row>
    <row r="649" spans="2:7" ht="14.25" customHeight="1" x14ac:dyDescent="0.3">
      <c r="B649" s="8"/>
      <c r="E649" s="8"/>
      <c r="G649" s="8"/>
    </row>
    <row r="650" spans="2:7" ht="14.25" customHeight="1" x14ac:dyDescent="0.3">
      <c r="B650" s="8"/>
      <c r="E650" s="8"/>
      <c r="G650" s="8"/>
    </row>
    <row r="651" spans="2:7" ht="14.25" customHeight="1" x14ac:dyDescent="0.3">
      <c r="B651" s="8"/>
      <c r="E651" s="8"/>
      <c r="G651" s="8"/>
    </row>
    <row r="652" spans="2:7" ht="14.25" customHeight="1" x14ac:dyDescent="0.3">
      <c r="B652" s="8"/>
      <c r="E652" s="8"/>
      <c r="G652" s="8"/>
    </row>
    <row r="653" spans="2:7" ht="14.25" customHeight="1" x14ac:dyDescent="0.3">
      <c r="B653" s="8"/>
      <c r="E653" s="8"/>
      <c r="G653" s="8"/>
    </row>
    <row r="654" spans="2:7" ht="14.25" customHeight="1" x14ac:dyDescent="0.3">
      <c r="B654" s="8"/>
      <c r="E654" s="8"/>
      <c r="G654" s="8"/>
    </row>
    <row r="655" spans="2:7" ht="14.25" customHeight="1" x14ac:dyDescent="0.3">
      <c r="B655" s="8"/>
      <c r="E655" s="8"/>
      <c r="G655" s="8"/>
    </row>
    <row r="656" spans="2:7" ht="14.25" customHeight="1" x14ac:dyDescent="0.3">
      <c r="B656" s="8"/>
      <c r="E656" s="8"/>
      <c r="G656" s="8"/>
    </row>
    <row r="657" spans="2:7" ht="14.25" customHeight="1" x14ac:dyDescent="0.3">
      <c r="B657" s="8"/>
      <c r="E657" s="8"/>
      <c r="G657" s="8"/>
    </row>
    <row r="658" spans="2:7" ht="14.25" customHeight="1" x14ac:dyDescent="0.3">
      <c r="B658" s="8"/>
      <c r="E658" s="8"/>
      <c r="G658" s="8"/>
    </row>
    <row r="659" spans="2:7" ht="14.25" customHeight="1" x14ac:dyDescent="0.3">
      <c r="B659" s="8"/>
      <c r="E659" s="8"/>
      <c r="G659" s="8"/>
    </row>
    <row r="660" spans="2:7" ht="14.25" customHeight="1" x14ac:dyDescent="0.3">
      <c r="B660" s="8"/>
      <c r="E660" s="8"/>
      <c r="G660" s="8"/>
    </row>
    <row r="661" spans="2:7" ht="14.25" customHeight="1" x14ac:dyDescent="0.3">
      <c r="B661" s="8"/>
      <c r="E661" s="8"/>
      <c r="G661" s="8"/>
    </row>
    <row r="662" spans="2:7" ht="14.25" customHeight="1" x14ac:dyDescent="0.3">
      <c r="B662" s="8"/>
      <c r="E662" s="8"/>
      <c r="G662" s="8"/>
    </row>
    <row r="663" spans="2:7" ht="14.25" customHeight="1" x14ac:dyDescent="0.3">
      <c r="B663" s="8"/>
      <c r="E663" s="8"/>
      <c r="G663" s="8"/>
    </row>
    <row r="664" spans="2:7" ht="14.25" customHeight="1" x14ac:dyDescent="0.3">
      <c r="B664" s="8"/>
      <c r="E664" s="8"/>
      <c r="G664" s="8"/>
    </row>
    <row r="665" spans="2:7" ht="14.25" customHeight="1" x14ac:dyDescent="0.3">
      <c r="B665" s="8"/>
      <c r="E665" s="8"/>
      <c r="G665" s="8"/>
    </row>
    <row r="666" spans="2:7" ht="14.25" customHeight="1" x14ac:dyDescent="0.3">
      <c r="B666" s="8"/>
      <c r="E666" s="8"/>
      <c r="G666" s="8"/>
    </row>
    <row r="667" spans="2:7" ht="14.25" customHeight="1" x14ac:dyDescent="0.3">
      <c r="B667" s="8"/>
      <c r="E667" s="8"/>
      <c r="G667" s="8"/>
    </row>
    <row r="668" spans="2:7" ht="14.25" customHeight="1" x14ac:dyDescent="0.3">
      <c r="B668" s="8"/>
      <c r="E668" s="8"/>
      <c r="G668" s="8"/>
    </row>
    <row r="669" spans="2:7" ht="14.25" customHeight="1" x14ac:dyDescent="0.3">
      <c r="B669" s="8"/>
      <c r="E669" s="8"/>
      <c r="G669" s="8"/>
    </row>
    <row r="670" spans="2:7" ht="14.25" customHeight="1" x14ac:dyDescent="0.3">
      <c r="B670" s="8"/>
      <c r="E670" s="8"/>
      <c r="G670" s="8"/>
    </row>
    <row r="671" spans="2:7" ht="14.25" customHeight="1" x14ac:dyDescent="0.3">
      <c r="B671" s="8"/>
      <c r="E671" s="8"/>
      <c r="G671" s="8"/>
    </row>
    <row r="672" spans="2:7" ht="14.25" customHeight="1" x14ac:dyDescent="0.3">
      <c r="B672" s="8"/>
      <c r="E672" s="8"/>
      <c r="G672" s="8"/>
    </row>
    <row r="673" spans="2:7" ht="14.25" customHeight="1" x14ac:dyDescent="0.3">
      <c r="B673" s="8"/>
      <c r="E673" s="8"/>
      <c r="G673" s="8"/>
    </row>
    <row r="674" spans="2:7" ht="14.25" customHeight="1" x14ac:dyDescent="0.3">
      <c r="B674" s="8"/>
      <c r="E674" s="8"/>
      <c r="G674" s="8"/>
    </row>
    <row r="675" spans="2:7" ht="14.25" customHeight="1" x14ac:dyDescent="0.3">
      <c r="B675" s="8"/>
      <c r="E675" s="8"/>
      <c r="G675" s="8"/>
    </row>
    <row r="676" spans="2:7" ht="14.25" customHeight="1" x14ac:dyDescent="0.3">
      <c r="B676" s="8"/>
      <c r="E676" s="8"/>
      <c r="G676" s="8"/>
    </row>
    <row r="677" spans="2:7" ht="14.25" customHeight="1" x14ac:dyDescent="0.3">
      <c r="B677" s="8"/>
      <c r="E677" s="8"/>
      <c r="G677" s="8"/>
    </row>
    <row r="678" spans="2:7" ht="14.25" customHeight="1" x14ac:dyDescent="0.3">
      <c r="B678" s="8"/>
      <c r="E678" s="8"/>
      <c r="G678" s="8"/>
    </row>
    <row r="679" spans="2:7" ht="14.25" customHeight="1" x14ac:dyDescent="0.3">
      <c r="B679" s="8"/>
      <c r="E679" s="8"/>
      <c r="G679" s="8"/>
    </row>
    <row r="680" spans="2:7" ht="14.25" customHeight="1" x14ac:dyDescent="0.3">
      <c r="B680" s="8"/>
      <c r="E680" s="8"/>
      <c r="G680" s="8"/>
    </row>
    <row r="681" spans="2:7" ht="14.25" customHeight="1" x14ac:dyDescent="0.3">
      <c r="B681" s="8"/>
      <c r="E681" s="8"/>
      <c r="G681" s="8"/>
    </row>
    <row r="682" spans="2:7" ht="14.25" customHeight="1" x14ac:dyDescent="0.3">
      <c r="B682" s="8"/>
      <c r="E682" s="8"/>
      <c r="G682" s="8"/>
    </row>
    <row r="683" spans="2:7" ht="14.25" customHeight="1" x14ac:dyDescent="0.3">
      <c r="B683" s="8"/>
      <c r="E683" s="8"/>
      <c r="G683" s="8"/>
    </row>
    <row r="684" spans="2:7" ht="14.25" customHeight="1" x14ac:dyDescent="0.3">
      <c r="B684" s="8"/>
      <c r="E684" s="8"/>
      <c r="G684" s="8"/>
    </row>
    <row r="685" spans="2:7" ht="14.25" customHeight="1" x14ac:dyDescent="0.3">
      <c r="B685" s="8"/>
      <c r="E685" s="8"/>
      <c r="G685" s="8"/>
    </row>
    <row r="686" spans="2:7" ht="14.25" customHeight="1" x14ac:dyDescent="0.3">
      <c r="B686" s="8"/>
      <c r="E686" s="8"/>
      <c r="G686" s="8"/>
    </row>
    <row r="687" spans="2:7" ht="14.25" customHeight="1" x14ac:dyDescent="0.3">
      <c r="B687" s="8"/>
      <c r="E687" s="8"/>
      <c r="G687" s="8"/>
    </row>
    <row r="688" spans="2:7" ht="14.25" customHeight="1" x14ac:dyDescent="0.3">
      <c r="B688" s="8"/>
      <c r="E688" s="8"/>
      <c r="G688" s="8"/>
    </row>
    <row r="689" spans="2:7" ht="14.25" customHeight="1" x14ac:dyDescent="0.3">
      <c r="B689" s="8"/>
      <c r="E689" s="8"/>
      <c r="G689" s="8"/>
    </row>
    <row r="690" spans="2:7" ht="14.25" customHeight="1" x14ac:dyDescent="0.3">
      <c r="B690" s="8"/>
      <c r="E690" s="8"/>
      <c r="G690" s="8"/>
    </row>
    <row r="691" spans="2:7" ht="14.25" customHeight="1" x14ac:dyDescent="0.3">
      <c r="B691" s="8"/>
      <c r="E691" s="8"/>
      <c r="G691" s="8"/>
    </row>
    <row r="692" spans="2:7" ht="14.25" customHeight="1" x14ac:dyDescent="0.3">
      <c r="B692" s="8"/>
      <c r="E692" s="8"/>
      <c r="G692" s="8"/>
    </row>
    <row r="693" spans="2:7" ht="14.25" customHeight="1" x14ac:dyDescent="0.3">
      <c r="B693" s="8"/>
      <c r="E693" s="8"/>
      <c r="G693" s="8"/>
    </row>
    <row r="694" spans="2:7" ht="14.25" customHeight="1" x14ac:dyDescent="0.3">
      <c r="B694" s="8"/>
      <c r="E694" s="8"/>
      <c r="G694" s="8"/>
    </row>
    <row r="695" spans="2:7" ht="14.25" customHeight="1" x14ac:dyDescent="0.3">
      <c r="B695" s="8"/>
      <c r="E695" s="8"/>
      <c r="G695" s="8"/>
    </row>
    <row r="696" spans="2:7" ht="14.25" customHeight="1" x14ac:dyDescent="0.3">
      <c r="B696" s="8"/>
      <c r="E696" s="8"/>
      <c r="G696" s="8"/>
    </row>
    <row r="697" spans="2:7" ht="14.25" customHeight="1" x14ac:dyDescent="0.3">
      <c r="B697" s="8"/>
      <c r="E697" s="8"/>
      <c r="G697" s="8"/>
    </row>
    <row r="698" spans="2:7" ht="14.25" customHeight="1" x14ac:dyDescent="0.3">
      <c r="B698" s="8"/>
      <c r="E698" s="8"/>
      <c r="G698" s="8"/>
    </row>
    <row r="699" spans="2:7" ht="14.25" customHeight="1" x14ac:dyDescent="0.3">
      <c r="B699" s="8"/>
      <c r="E699" s="8"/>
      <c r="G699" s="8"/>
    </row>
    <row r="700" spans="2:7" ht="14.25" customHeight="1" x14ac:dyDescent="0.3">
      <c r="B700" s="8"/>
      <c r="E700" s="8"/>
      <c r="G700" s="8"/>
    </row>
    <row r="701" spans="2:7" ht="14.25" customHeight="1" x14ac:dyDescent="0.3">
      <c r="B701" s="8"/>
      <c r="E701" s="8"/>
      <c r="G701" s="8"/>
    </row>
    <row r="702" spans="2:7" ht="14.25" customHeight="1" x14ac:dyDescent="0.3">
      <c r="B702" s="8"/>
      <c r="E702" s="8"/>
      <c r="G702" s="8"/>
    </row>
    <row r="703" spans="2:7" ht="14.25" customHeight="1" x14ac:dyDescent="0.3">
      <c r="B703" s="8"/>
      <c r="E703" s="8"/>
      <c r="G703" s="8"/>
    </row>
    <row r="704" spans="2:7" ht="14.25" customHeight="1" x14ac:dyDescent="0.3">
      <c r="B704" s="8"/>
      <c r="E704" s="8"/>
      <c r="G704" s="8"/>
    </row>
    <row r="705" spans="2:7" ht="14.25" customHeight="1" x14ac:dyDescent="0.3">
      <c r="B705" s="8"/>
      <c r="E705" s="8"/>
      <c r="G705" s="8"/>
    </row>
    <row r="706" spans="2:7" ht="14.25" customHeight="1" x14ac:dyDescent="0.3">
      <c r="B706" s="8"/>
      <c r="E706" s="8"/>
      <c r="G706" s="8"/>
    </row>
    <row r="707" spans="2:7" ht="14.25" customHeight="1" x14ac:dyDescent="0.3">
      <c r="B707" s="8"/>
      <c r="E707" s="8"/>
      <c r="G707" s="8"/>
    </row>
    <row r="708" spans="2:7" ht="14.25" customHeight="1" x14ac:dyDescent="0.3">
      <c r="B708" s="8"/>
      <c r="E708" s="8"/>
      <c r="G708" s="8"/>
    </row>
    <row r="709" spans="2:7" ht="14.25" customHeight="1" x14ac:dyDescent="0.3">
      <c r="B709" s="8"/>
      <c r="E709" s="8"/>
      <c r="G709" s="8"/>
    </row>
    <row r="710" spans="2:7" ht="14.25" customHeight="1" x14ac:dyDescent="0.3">
      <c r="B710" s="8"/>
      <c r="E710" s="8"/>
      <c r="G710" s="8"/>
    </row>
    <row r="711" spans="2:7" ht="14.25" customHeight="1" x14ac:dyDescent="0.3">
      <c r="B711" s="8"/>
      <c r="E711" s="8"/>
      <c r="G711" s="8"/>
    </row>
    <row r="712" spans="2:7" ht="14.25" customHeight="1" x14ac:dyDescent="0.3">
      <c r="B712" s="8"/>
      <c r="E712" s="8"/>
      <c r="G712" s="8"/>
    </row>
    <row r="713" spans="2:7" ht="14.25" customHeight="1" x14ac:dyDescent="0.3">
      <c r="B713" s="8"/>
      <c r="E713" s="8"/>
      <c r="G713" s="8"/>
    </row>
    <row r="714" spans="2:7" ht="14.25" customHeight="1" x14ac:dyDescent="0.3">
      <c r="B714" s="8"/>
      <c r="E714" s="8"/>
      <c r="G714" s="8"/>
    </row>
    <row r="715" spans="2:7" ht="14.25" customHeight="1" x14ac:dyDescent="0.3">
      <c r="B715" s="8"/>
      <c r="E715" s="8"/>
      <c r="G715" s="8"/>
    </row>
    <row r="716" spans="2:7" ht="14.25" customHeight="1" x14ac:dyDescent="0.3">
      <c r="B716" s="8"/>
      <c r="E716" s="8"/>
      <c r="G716" s="8"/>
    </row>
    <row r="717" spans="2:7" ht="14.25" customHeight="1" x14ac:dyDescent="0.3">
      <c r="B717" s="8"/>
      <c r="E717" s="8"/>
      <c r="G717" s="8"/>
    </row>
    <row r="718" spans="2:7" ht="14.25" customHeight="1" x14ac:dyDescent="0.3">
      <c r="B718" s="8"/>
      <c r="E718" s="8"/>
      <c r="G718" s="8"/>
    </row>
    <row r="719" spans="2:7" ht="14.25" customHeight="1" x14ac:dyDescent="0.3">
      <c r="B719" s="8"/>
      <c r="E719" s="8"/>
      <c r="G719" s="8"/>
    </row>
    <row r="720" spans="2:7" ht="14.25" customHeight="1" x14ac:dyDescent="0.3">
      <c r="B720" s="8"/>
      <c r="E720" s="8"/>
      <c r="G720" s="8"/>
    </row>
    <row r="721" spans="2:7" ht="14.25" customHeight="1" x14ac:dyDescent="0.3">
      <c r="B721" s="8"/>
      <c r="E721" s="8"/>
      <c r="G721" s="8"/>
    </row>
    <row r="722" spans="2:7" ht="14.25" customHeight="1" x14ac:dyDescent="0.3">
      <c r="B722" s="8"/>
      <c r="E722" s="8"/>
      <c r="G722" s="8"/>
    </row>
    <row r="723" spans="2:7" ht="14.25" customHeight="1" x14ac:dyDescent="0.3">
      <c r="B723" s="8"/>
      <c r="E723" s="8"/>
      <c r="G723" s="8"/>
    </row>
    <row r="724" spans="2:7" ht="14.25" customHeight="1" x14ac:dyDescent="0.3">
      <c r="B724" s="8"/>
      <c r="E724" s="8"/>
      <c r="G724" s="8"/>
    </row>
    <row r="725" spans="2:7" ht="14.25" customHeight="1" x14ac:dyDescent="0.3">
      <c r="B725" s="8"/>
      <c r="E725" s="8"/>
      <c r="G725" s="8"/>
    </row>
    <row r="726" spans="2:7" ht="14.25" customHeight="1" x14ac:dyDescent="0.3">
      <c r="B726" s="8"/>
      <c r="E726" s="8"/>
      <c r="G726" s="8"/>
    </row>
    <row r="727" spans="2:7" ht="14.25" customHeight="1" x14ac:dyDescent="0.3">
      <c r="B727" s="8"/>
      <c r="E727" s="8"/>
      <c r="G727" s="8"/>
    </row>
    <row r="728" spans="2:7" ht="14.25" customHeight="1" x14ac:dyDescent="0.3">
      <c r="B728" s="8"/>
      <c r="E728" s="8"/>
      <c r="G728" s="8"/>
    </row>
    <row r="729" spans="2:7" ht="14.25" customHeight="1" x14ac:dyDescent="0.3">
      <c r="B729" s="8"/>
      <c r="E729" s="8"/>
      <c r="G729" s="8"/>
    </row>
    <row r="730" spans="2:7" ht="14.25" customHeight="1" x14ac:dyDescent="0.3">
      <c r="B730" s="8"/>
      <c r="E730" s="8"/>
      <c r="G730" s="8"/>
    </row>
    <row r="731" spans="2:7" ht="14.25" customHeight="1" x14ac:dyDescent="0.3">
      <c r="B731" s="8"/>
      <c r="E731" s="8"/>
      <c r="G731" s="8"/>
    </row>
    <row r="732" spans="2:7" ht="14.25" customHeight="1" x14ac:dyDescent="0.3">
      <c r="B732" s="8"/>
      <c r="E732" s="8"/>
      <c r="G732" s="8"/>
    </row>
    <row r="733" spans="2:7" ht="14.25" customHeight="1" x14ac:dyDescent="0.3">
      <c r="B733" s="8"/>
      <c r="E733" s="8"/>
      <c r="G733" s="8"/>
    </row>
    <row r="734" spans="2:7" ht="14.25" customHeight="1" x14ac:dyDescent="0.3">
      <c r="B734" s="8"/>
      <c r="E734" s="8"/>
      <c r="G734" s="8"/>
    </row>
    <row r="735" spans="2:7" ht="14.25" customHeight="1" x14ac:dyDescent="0.3">
      <c r="B735" s="8"/>
      <c r="E735" s="8"/>
      <c r="G735" s="8"/>
    </row>
    <row r="736" spans="2:7" ht="14.25" customHeight="1" x14ac:dyDescent="0.3">
      <c r="B736" s="8"/>
      <c r="E736" s="8"/>
      <c r="G736" s="8"/>
    </row>
    <row r="737" spans="2:7" ht="14.25" customHeight="1" x14ac:dyDescent="0.3">
      <c r="B737" s="8"/>
      <c r="E737" s="8"/>
      <c r="G737" s="8"/>
    </row>
    <row r="738" spans="2:7" ht="14.25" customHeight="1" x14ac:dyDescent="0.3">
      <c r="B738" s="8"/>
      <c r="E738" s="8"/>
      <c r="G738" s="8"/>
    </row>
    <row r="739" spans="2:7" ht="14.25" customHeight="1" x14ac:dyDescent="0.3">
      <c r="B739" s="8"/>
      <c r="E739" s="8"/>
      <c r="G739" s="8"/>
    </row>
    <row r="740" spans="2:7" ht="14.25" customHeight="1" x14ac:dyDescent="0.3">
      <c r="B740" s="8"/>
      <c r="E740" s="8"/>
      <c r="G740" s="8"/>
    </row>
    <row r="741" spans="2:7" ht="14.25" customHeight="1" x14ac:dyDescent="0.3">
      <c r="B741" s="8"/>
      <c r="E741" s="8"/>
      <c r="G741" s="8"/>
    </row>
    <row r="742" spans="2:7" ht="14.25" customHeight="1" x14ac:dyDescent="0.3">
      <c r="B742" s="8"/>
      <c r="E742" s="8"/>
      <c r="G742" s="8"/>
    </row>
    <row r="743" spans="2:7" ht="14.25" customHeight="1" x14ac:dyDescent="0.3">
      <c r="B743" s="8"/>
      <c r="E743" s="8"/>
      <c r="G743" s="8"/>
    </row>
    <row r="744" spans="2:7" ht="14.25" customHeight="1" x14ac:dyDescent="0.3">
      <c r="B744" s="8"/>
      <c r="E744" s="8"/>
      <c r="G744" s="8"/>
    </row>
    <row r="745" spans="2:7" ht="14.25" customHeight="1" x14ac:dyDescent="0.3">
      <c r="B745" s="8"/>
      <c r="E745" s="8"/>
      <c r="G745" s="8"/>
    </row>
    <row r="746" spans="2:7" ht="14.25" customHeight="1" x14ac:dyDescent="0.3">
      <c r="B746" s="8"/>
      <c r="E746" s="8"/>
      <c r="G746" s="8"/>
    </row>
    <row r="747" spans="2:7" ht="14.25" customHeight="1" x14ac:dyDescent="0.3">
      <c r="B747" s="8"/>
      <c r="E747" s="8"/>
      <c r="G747" s="8"/>
    </row>
    <row r="748" spans="2:7" ht="14.25" customHeight="1" x14ac:dyDescent="0.3">
      <c r="B748" s="8"/>
      <c r="E748" s="8"/>
      <c r="G748" s="8"/>
    </row>
    <row r="749" spans="2:7" ht="14.25" customHeight="1" x14ac:dyDescent="0.3">
      <c r="B749" s="8"/>
      <c r="E749" s="8"/>
      <c r="G749" s="8"/>
    </row>
    <row r="750" spans="2:7" ht="14.25" customHeight="1" x14ac:dyDescent="0.3">
      <c r="B750" s="8"/>
      <c r="E750" s="8"/>
      <c r="G750" s="8"/>
    </row>
    <row r="751" spans="2:7" ht="14.25" customHeight="1" x14ac:dyDescent="0.3">
      <c r="B751" s="8"/>
      <c r="E751" s="8"/>
      <c r="G751" s="8"/>
    </row>
    <row r="752" spans="2:7" ht="14.25" customHeight="1" x14ac:dyDescent="0.3">
      <c r="B752" s="8"/>
      <c r="E752" s="8"/>
      <c r="G752" s="8"/>
    </row>
    <row r="753" spans="2:7" ht="14.25" customHeight="1" x14ac:dyDescent="0.3">
      <c r="B753" s="8"/>
      <c r="E753" s="8"/>
      <c r="G753" s="8"/>
    </row>
    <row r="754" spans="2:7" ht="14.25" customHeight="1" x14ac:dyDescent="0.3">
      <c r="B754" s="8"/>
      <c r="E754" s="8"/>
      <c r="G754" s="8"/>
    </row>
    <row r="755" spans="2:7" ht="14.25" customHeight="1" x14ac:dyDescent="0.3">
      <c r="B755" s="8"/>
      <c r="E755" s="8"/>
      <c r="G755" s="8"/>
    </row>
    <row r="756" spans="2:7" ht="14.25" customHeight="1" x14ac:dyDescent="0.3">
      <c r="B756" s="8"/>
      <c r="E756" s="8"/>
      <c r="G756" s="8"/>
    </row>
    <row r="757" spans="2:7" ht="14.25" customHeight="1" x14ac:dyDescent="0.3">
      <c r="B757" s="8"/>
      <c r="E757" s="8"/>
      <c r="G757" s="8"/>
    </row>
    <row r="758" spans="2:7" ht="14.25" customHeight="1" x14ac:dyDescent="0.3">
      <c r="B758" s="8"/>
      <c r="E758" s="8"/>
      <c r="G758" s="8"/>
    </row>
    <row r="759" spans="2:7" ht="14.25" customHeight="1" x14ac:dyDescent="0.3">
      <c r="B759" s="8"/>
      <c r="E759" s="8"/>
      <c r="G759" s="8"/>
    </row>
    <row r="760" spans="2:7" ht="14.25" customHeight="1" x14ac:dyDescent="0.3">
      <c r="B760" s="8"/>
      <c r="E760" s="8"/>
      <c r="G760" s="8"/>
    </row>
    <row r="761" spans="2:7" ht="14.25" customHeight="1" x14ac:dyDescent="0.3">
      <c r="B761" s="8"/>
      <c r="E761" s="8"/>
      <c r="G761" s="8"/>
    </row>
    <row r="762" spans="2:7" ht="14.25" customHeight="1" x14ac:dyDescent="0.3">
      <c r="B762" s="8"/>
      <c r="E762" s="8"/>
      <c r="G762" s="8"/>
    </row>
    <row r="763" spans="2:7" ht="14.25" customHeight="1" x14ac:dyDescent="0.3">
      <c r="B763" s="8"/>
      <c r="E763" s="8"/>
      <c r="G763" s="8"/>
    </row>
    <row r="764" spans="2:7" ht="14.25" customHeight="1" x14ac:dyDescent="0.3">
      <c r="B764" s="8"/>
      <c r="E764" s="8"/>
      <c r="G764" s="8"/>
    </row>
    <row r="765" spans="2:7" ht="14.25" customHeight="1" x14ac:dyDescent="0.3">
      <c r="B765" s="8"/>
      <c r="E765" s="8"/>
      <c r="G765" s="8"/>
    </row>
    <row r="766" spans="2:7" ht="14.25" customHeight="1" x14ac:dyDescent="0.3">
      <c r="B766" s="8"/>
      <c r="E766" s="8"/>
      <c r="G766" s="8"/>
    </row>
    <row r="767" spans="2:7" ht="14.25" customHeight="1" x14ac:dyDescent="0.3">
      <c r="B767" s="8"/>
      <c r="E767" s="8"/>
      <c r="G767" s="8"/>
    </row>
    <row r="768" spans="2:7" ht="14.25" customHeight="1" x14ac:dyDescent="0.3">
      <c r="B768" s="8"/>
      <c r="E768" s="8"/>
      <c r="G768" s="8"/>
    </row>
    <row r="769" spans="2:7" ht="14.25" customHeight="1" x14ac:dyDescent="0.3">
      <c r="B769" s="8"/>
      <c r="E769" s="8"/>
      <c r="G769" s="8"/>
    </row>
    <row r="770" spans="2:7" ht="14.25" customHeight="1" x14ac:dyDescent="0.3">
      <c r="B770" s="8"/>
      <c r="E770" s="8"/>
      <c r="G770" s="8"/>
    </row>
    <row r="771" spans="2:7" ht="14.25" customHeight="1" x14ac:dyDescent="0.3">
      <c r="B771" s="8"/>
      <c r="E771" s="8"/>
      <c r="G771" s="8"/>
    </row>
    <row r="772" spans="2:7" ht="14.25" customHeight="1" x14ac:dyDescent="0.3">
      <c r="B772" s="8"/>
      <c r="E772" s="8"/>
      <c r="G772" s="8"/>
    </row>
    <row r="773" spans="2:7" ht="14.25" customHeight="1" x14ac:dyDescent="0.3">
      <c r="B773" s="8"/>
      <c r="E773" s="8"/>
      <c r="G773" s="8"/>
    </row>
    <row r="774" spans="2:7" ht="14.25" customHeight="1" x14ac:dyDescent="0.3">
      <c r="B774" s="8"/>
      <c r="E774" s="8"/>
      <c r="G774" s="8"/>
    </row>
    <row r="775" spans="2:7" ht="14.25" customHeight="1" x14ac:dyDescent="0.3">
      <c r="B775" s="8"/>
      <c r="E775" s="8"/>
      <c r="G775" s="8"/>
    </row>
    <row r="776" spans="2:7" ht="14.25" customHeight="1" x14ac:dyDescent="0.3">
      <c r="B776" s="8"/>
      <c r="E776" s="8"/>
      <c r="G776" s="8"/>
    </row>
    <row r="777" spans="2:7" ht="14.25" customHeight="1" x14ac:dyDescent="0.3">
      <c r="B777" s="8"/>
      <c r="E777" s="8"/>
      <c r="G777" s="8"/>
    </row>
    <row r="778" spans="2:7" ht="14.25" customHeight="1" x14ac:dyDescent="0.3">
      <c r="B778" s="8"/>
      <c r="E778" s="8"/>
      <c r="G778" s="8"/>
    </row>
    <row r="779" spans="2:7" ht="14.25" customHeight="1" x14ac:dyDescent="0.3">
      <c r="B779" s="8"/>
      <c r="E779" s="8"/>
      <c r="G779" s="8"/>
    </row>
    <row r="780" spans="2:7" ht="14.25" customHeight="1" x14ac:dyDescent="0.3">
      <c r="B780" s="8"/>
      <c r="E780" s="8"/>
      <c r="G780" s="8"/>
    </row>
    <row r="781" spans="2:7" ht="14.25" customHeight="1" x14ac:dyDescent="0.3">
      <c r="B781" s="8"/>
      <c r="E781" s="8"/>
      <c r="G781" s="8"/>
    </row>
    <row r="782" spans="2:7" ht="14.25" customHeight="1" x14ac:dyDescent="0.3">
      <c r="B782" s="8"/>
      <c r="E782" s="8"/>
      <c r="G782" s="8"/>
    </row>
    <row r="783" spans="2:7" ht="14.25" customHeight="1" x14ac:dyDescent="0.3">
      <c r="B783" s="8"/>
      <c r="E783" s="8"/>
      <c r="G783" s="8"/>
    </row>
    <row r="784" spans="2:7" ht="14.25" customHeight="1" x14ac:dyDescent="0.3">
      <c r="B784" s="8"/>
      <c r="E784" s="8"/>
      <c r="G784" s="8"/>
    </row>
    <row r="785" spans="2:7" ht="14.25" customHeight="1" x14ac:dyDescent="0.3">
      <c r="B785" s="8"/>
      <c r="E785" s="8"/>
      <c r="G785" s="8"/>
    </row>
    <row r="786" spans="2:7" ht="14.25" customHeight="1" x14ac:dyDescent="0.3">
      <c r="B786" s="8"/>
      <c r="E786" s="8"/>
      <c r="G786" s="8"/>
    </row>
    <row r="787" spans="2:7" ht="14.25" customHeight="1" x14ac:dyDescent="0.3">
      <c r="B787" s="8"/>
      <c r="E787" s="8"/>
      <c r="G787" s="8"/>
    </row>
    <row r="788" spans="2:7" ht="14.25" customHeight="1" x14ac:dyDescent="0.3">
      <c r="B788" s="8"/>
      <c r="E788" s="8"/>
      <c r="G788" s="8"/>
    </row>
    <row r="789" spans="2:7" ht="14.25" customHeight="1" x14ac:dyDescent="0.3">
      <c r="B789" s="8"/>
      <c r="E789" s="8"/>
      <c r="G789" s="8"/>
    </row>
    <row r="790" spans="2:7" ht="14.25" customHeight="1" x14ac:dyDescent="0.3">
      <c r="B790" s="8"/>
      <c r="E790" s="8"/>
      <c r="G790" s="8"/>
    </row>
    <row r="791" spans="2:7" ht="14.25" customHeight="1" x14ac:dyDescent="0.3">
      <c r="B791" s="8"/>
      <c r="E791" s="8"/>
      <c r="G791" s="8"/>
    </row>
    <row r="792" spans="2:7" ht="14.25" customHeight="1" x14ac:dyDescent="0.3">
      <c r="B792" s="8"/>
      <c r="E792" s="8"/>
      <c r="G792" s="8"/>
    </row>
    <row r="793" spans="2:7" ht="14.25" customHeight="1" x14ac:dyDescent="0.3">
      <c r="B793" s="8"/>
      <c r="E793" s="8"/>
      <c r="G793" s="8"/>
    </row>
    <row r="794" spans="2:7" ht="14.25" customHeight="1" x14ac:dyDescent="0.3">
      <c r="B794" s="8"/>
      <c r="E794" s="8"/>
      <c r="G794" s="8"/>
    </row>
    <row r="795" spans="2:7" ht="14.25" customHeight="1" x14ac:dyDescent="0.3">
      <c r="B795" s="8"/>
      <c r="E795" s="8"/>
      <c r="G795" s="8"/>
    </row>
    <row r="796" spans="2:7" ht="14.25" customHeight="1" x14ac:dyDescent="0.3">
      <c r="B796" s="8"/>
      <c r="E796" s="8"/>
      <c r="G796" s="8"/>
    </row>
    <row r="797" spans="2:7" ht="14.25" customHeight="1" x14ac:dyDescent="0.3">
      <c r="B797" s="8"/>
      <c r="E797" s="8"/>
      <c r="G797" s="8"/>
    </row>
    <row r="798" spans="2:7" ht="14.25" customHeight="1" x14ac:dyDescent="0.3">
      <c r="B798" s="8"/>
      <c r="E798" s="8"/>
      <c r="G798" s="8"/>
    </row>
    <row r="799" spans="2:7" ht="14.25" customHeight="1" x14ac:dyDescent="0.3">
      <c r="B799" s="8"/>
      <c r="E799" s="8"/>
      <c r="G799" s="8"/>
    </row>
    <row r="800" spans="2:7" ht="14.25" customHeight="1" x14ac:dyDescent="0.3">
      <c r="B800" s="8"/>
      <c r="E800" s="8"/>
      <c r="G800" s="8"/>
    </row>
    <row r="801" spans="2:7" ht="14.25" customHeight="1" x14ac:dyDescent="0.3">
      <c r="B801" s="8"/>
      <c r="E801" s="8"/>
      <c r="G801" s="8"/>
    </row>
    <row r="802" spans="2:7" ht="14.25" customHeight="1" x14ac:dyDescent="0.3">
      <c r="B802" s="8"/>
      <c r="E802" s="8"/>
      <c r="G802" s="8"/>
    </row>
    <row r="803" spans="2:7" ht="14.25" customHeight="1" x14ac:dyDescent="0.3">
      <c r="B803" s="8"/>
      <c r="E803" s="8"/>
      <c r="G803" s="8"/>
    </row>
    <row r="804" spans="2:7" ht="14.25" customHeight="1" x14ac:dyDescent="0.3">
      <c r="B804" s="8"/>
      <c r="E804" s="8"/>
      <c r="G804" s="8"/>
    </row>
    <row r="805" spans="2:7" ht="14.25" customHeight="1" x14ac:dyDescent="0.3">
      <c r="B805" s="8"/>
      <c r="E805" s="8"/>
      <c r="G805" s="8"/>
    </row>
    <row r="806" spans="2:7" ht="14.25" customHeight="1" x14ac:dyDescent="0.3">
      <c r="B806" s="8"/>
      <c r="E806" s="8"/>
      <c r="G806" s="8"/>
    </row>
    <row r="807" spans="2:7" ht="14.25" customHeight="1" x14ac:dyDescent="0.3">
      <c r="B807" s="8"/>
      <c r="E807" s="8"/>
      <c r="G807" s="8"/>
    </row>
    <row r="808" spans="2:7" ht="14.25" customHeight="1" x14ac:dyDescent="0.3">
      <c r="B808" s="8"/>
      <c r="E808" s="8"/>
      <c r="G808" s="8"/>
    </row>
    <row r="809" spans="2:7" ht="14.25" customHeight="1" x14ac:dyDescent="0.3">
      <c r="B809" s="8"/>
      <c r="E809" s="8"/>
      <c r="G809" s="8"/>
    </row>
    <row r="810" spans="2:7" ht="14.25" customHeight="1" x14ac:dyDescent="0.3">
      <c r="B810" s="8"/>
      <c r="E810" s="8"/>
      <c r="G810" s="8"/>
    </row>
    <row r="811" spans="2:7" ht="14.25" customHeight="1" x14ac:dyDescent="0.3">
      <c r="B811" s="8"/>
      <c r="E811" s="8"/>
      <c r="G811" s="8"/>
    </row>
    <row r="812" spans="2:7" ht="14.25" customHeight="1" x14ac:dyDescent="0.3">
      <c r="B812" s="8"/>
      <c r="E812" s="8"/>
      <c r="G812" s="8"/>
    </row>
    <row r="813" spans="2:7" ht="14.25" customHeight="1" x14ac:dyDescent="0.3">
      <c r="B813" s="8"/>
      <c r="E813" s="8"/>
      <c r="G813" s="8"/>
    </row>
    <row r="814" spans="2:7" ht="14.25" customHeight="1" x14ac:dyDescent="0.3">
      <c r="B814" s="8"/>
      <c r="E814" s="8"/>
      <c r="G814" s="8"/>
    </row>
    <row r="815" spans="2:7" ht="14.25" customHeight="1" x14ac:dyDescent="0.3">
      <c r="B815" s="8"/>
      <c r="E815" s="8"/>
      <c r="G815" s="8"/>
    </row>
    <row r="816" spans="2:7" ht="14.25" customHeight="1" x14ac:dyDescent="0.3">
      <c r="B816" s="8"/>
      <c r="E816" s="8"/>
      <c r="G816" s="8"/>
    </row>
    <row r="817" spans="2:7" ht="14.25" customHeight="1" x14ac:dyDescent="0.3">
      <c r="B817" s="8"/>
      <c r="E817" s="8"/>
      <c r="G817" s="8"/>
    </row>
    <row r="818" spans="2:7" ht="14.25" customHeight="1" x14ac:dyDescent="0.3">
      <c r="B818" s="8"/>
      <c r="E818" s="8"/>
      <c r="G818" s="8"/>
    </row>
    <row r="819" spans="2:7" ht="14.25" customHeight="1" x14ac:dyDescent="0.3">
      <c r="B819" s="8"/>
      <c r="E819" s="8"/>
      <c r="G819" s="8"/>
    </row>
    <row r="820" spans="2:7" ht="14.25" customHeight="1" x14ac:dyDescent="0.3">
      <c r="B820" s="8"/>
      <c r="E820" s="8"/>
      <c r="G820" s="8"/>
    </row>
    <row r="821" spans="2:7" ht="14.25" customHeight="1" x14ac:dyDescent="0.3">
      <c r="B821" s="8"/>
      <c r="E821" s="8"/>
      <c r="G821" s="8"/>
    </row>
    <row r="822" spans="2:7" ht="14.25" customHeight="1" x14ac:dyDescent="0.3">
      <c r="B822" s="8"/>
      <c r="E822" s="8"/>
      <c r="G822" s="8"/>
    </row>
    <row r="823" spans="2:7" ht="14.25" customHeight="1" x14ac:dyDescent="0.3">
      <c r="B823" s="8"/>
      <c r="E823" s="8"/>
      <c r="G823" s="8"/>
    </row>
    <row r="824" spans="2:7" ht="14.25" customHeight="1" x14ac:dyDescent="0.3">
      <c r="B824" s="8"/>
      <c r="E824" s="8"/>
      <c r="G824" s="8"/>
    </row>
    <row r="825" spans="2:7" ht="14.25" customHeight="1" x14ac:dyDescent="0.3">
      <c r="B825" s="8"/>
      <c r="E825" s="8"/>
      <c r="G825" s="8"/>
    </row>
    <row r="826" spans="2:7" ht="14.25" customHeight="1" x14ac:dyDescent="0.3">
      <c r="B826" s="8"/>
      <c r="E826" s="8"/>
      <c r="G826" s="8"/>
    </row>
    <row r="827" spans="2:7" ht="14.25" customHeight="1" x14ac:dyDescent="0.3">
      <c r="B827" s="8"/>
      <c r="E827" s="8"/>
      <c r="G827" s="8"/>
    </row>
    <row r="828" spans="2:7" ht="14.25" customHeight="1" x14ac:dyDescent="0.3">
      <c r="B828" s="8"/>
      <c r="E828" s="8"/>
      <c r="G828" s="8"/>
    </row>
    <row r="829" spans="2:7" ht="14.25" customHeight="1" x14ac:dyDescent="0.3">
      <c r="B829" s="8"/>
      <c r="E829" s="8"/>
      <c r="G829" s="8"/>
    </row>
    <row r="830" spans="2:7" ht="14.25" customHeight="1" x14ac:dyDescent="0.3">
      <c r="B830" s="8"/>
      <c r="E830" s="8"/>
      <c r="G830" s="8"/>
    </row>
    <row r="831" spans="2:7" ht="14.25" customHeight="1" x14ac:dyDescent="0.3">
      <c r="B831" s="8"/>
      <c r="E831" s="8"/>
      <c r="G831" s="8"/>
    </row>
    <row r="832" spans="2:7" ht="14.25" customHeight="1" x14ac:dyDescent="0.3">
      <c r="B832" s="8"/>
      <c r="E832" s="8"/>
      <c r="G832" s="8"/>
    </row>
    <row r="833" spans="2:7" ht="14.25" customHeight="1" x14ac:dyDescent="0.3">
      <c r="B833" s="8"/>
      <c r="E833" s="8"/>
      <c r="G833" s="8"/>
    </row>
    <row r="834" spans="2:7" ht="14.25" customHeight="1" x14ac:dyDescent="0.3">
      <c r="B834" s="8"/>
      <c r="E834" s="8"/>
      <c r="G834" s="8"/>
    </row>
    <row r="835" spans="2:7" ht="14.25" customHeight="1" x14ac:dyDescent="0.3">
      <c r="B835" s="8"/>
      <c r="E835" s="8"/>
      <c r="G835" s="8"/>
    </row>
    <row r="836" spans="2:7" ht="14.25" customHeight="1" x14ac:dyDescent="0.3">
      <c r="B836" s="8"/>
      <c r="E836" s="8"/>
      <c r="G836" s="8"/>
    </row>
    <row r="837" spans="2:7" ht="14.25" customHeight="1" x14ac:dyDescent="0.3">
      <c r="B837" s="8"/>
      <c r="E837" s="8"/>
      <c r="G837" s="8"/>
    </row>
    <row r="838" spans="2:7" ht="14.25" customHeight="1" x14ac:dyDescent="0.3">
      <c r="B838" s="8"/>
      <c r="E838" s="8"/>
      <c r="G838" s="8"/>
    </row>
    <row r="839" spans="2:7" ht="14.25" customHeight="1" x14ac:dyDescent="0.3">
      <c r="B839" s="8"/>
      <c r="E839" s="8"/>
      <c r="G839" s="8"/>
    </row>
    <row r="840" spans="2:7" ht="14.25" customHeight="1" x14ac:dyDescent="0.3">
      <c r="B840" s="8"/>
      <c r="E840" s="8"/>
      <c r="G840" s="8"/>
    </row>
    <row r="841" spans="2:7" ht="14.25" customHeight="1" x14ac:dyDescent="0.3">
      <c r="B841" s="8"/>
      <c r="E841" s="8"/>
      <c r="G841" s="8"/>
    </row>
    <row r="842" spans="2:7" ht="14.25" customHeight="1" x14ac:dyDescent="0.3">
      <c r="B842" s="8"/>
      <c r="E842" s="8"/>
      <c r="G842" s="8"/>
    </row>
    <row r="843" spans="2:7" ht="14.25" customHeight="1" x14ac:dyDescent="0.3">
      <c r="B843" s="8"/>
      <c r="E843" s="8"/>
      <c r="G843" s="8"/>
    </row>
    <row r="844" spans="2:7" ht="14.25" customHeight="1" x14ac:dyDescent="0.3">
      <c r="B844" s="8"/>
      <c r="E844" s="8"/>
      <c r="G844" s="8"/>
    </row>
    <row r="845" spans="2:7" ht="14.25" customHeight="1" x14ac:dyDescent="0.3">
      <c r="B845" s="8"/>
      <c r="E845" s="8"/>
      <c r="G845" s="8"/>
    </row>
    <row r="846" spans="2:7" ht="14.25" customHeight="1" x14ac:dyDescent="0.3">
      <c r="B846" s="8"/>
      <c r="E846" s="8"/>
      <c r="G846" s="8"/>
    </row>
    <row r="847" spans="2:7" ht="14.25" customHeight="1" x14ac:dyDescent="0.3">
      <c r="B847" s="8"/>
      <c r="E847" s="8"/>
      <c r="G847" s="8"/>
    </row>
    <row r="848" spans="2:7" ht="14.25" customHeight="1" x14ac:dyDescent="0.3">
      <c r="B848" s="8"/>
      <c r="E848" s="8"/>
      <c r="G848" s="8"/>
    </row>
    <row r="849" spans="2:7" ht="14.25" customHeight="1" x14ac:dyDescent="0.3">
      <c r="B849" s="8"/>
      <c r="E849" s="8"/>
      <c r="G849" s="8"/>
    </row>
    <row r="850" spans="2:7" ht="14.25" customHeight="1" x14ac:dyDescent="0.3">
      <c r="B850" s="8"/>
      <c r="E850" s="8"/>
      <c r="G850" s="8"/>
    </row>
    <row r="851" spans="2:7" ht="14.25" customHeight="1" x14ac:dyDescent="0.3">
      <c r="B851" s="8"/>
      <c r="E851" s="8"/>
      <c r="G851" s="8"/>
    </row>
    <row r="852" spans="2:7" ht="14.25" customHeight="1" x14ac:dyDescent="0.3">
      <c r="B852" s="8"/>
      <c r="E852" s="8"/>
      <c r="G852" s="8"/>
    </row>
    <row r="853" spans="2:7" ht="14.25" customHeight="1" x14ac:dyDescent="0.3">
      <c r="B853" s="8"/>
      <c r="E853" s="8"/>
      <c r="G853" s="8"/>
    </row>
    <row r="854" spans="2:7" ht="14.25" customHeight="1" x14ac:dyDescent="0.3">
      <c r="B854" s="8"/>
      <c r="E854" s="8"/>
      <c r="G854" s="8"/>
    </row>
    <row r="855" spans="2:7" ht="14.25" customHeight="1" x14ac:dyDescent="0.3">
      <c r="B855" s="8"/>
      <c r="E855" s="8"/>
      <c r="G855" s="8"/>
    </row>
    <row r="856" spans="2:7" ht="14.25" customHeight="1" x14ac:dyDescent="0.3">
      <c r="B856" s="8"/>
      <c r="E856" s="8"/>
      <c r="G856" s="8"/>
    </row>
    <row r="857" spans="2:7" ht="14.25" customHeight="1" x14ac:dyDescent="0.3">
      <c r="B857" s="8"/>
      <c r="E857" s="8"/>
      <c r="G857" s="8"/>
    </row>
    <row r="858" spans="2:7" ht="14.25" customHeight="1" x14ac:dyDescent="0.3">
      <c r="B858" s="8"/>
      <c r="E858" s="8"/>
      <c r="G858" s="8"/>
    </row>
    <row r="859" spans="2:7" ht="14.25" customHeight="1" x14ac:dyDescent="0.3">
      <c r="B859" s="8"/>
      <c r="E859" s="8"/>
      <c r="G859" s="8"/>
    </row>
    <row r="860" spans="2:7" ht="14.25" customHeight="1" x14ac:dyDescent="0.3">
      <c r="B860" s="8"/>
      <c r="E860" s="8"/>
      <c r="G860" s="8"/>
    </row>
    <row r="861" spans="2:7" ht="14.25" customHeight="1" x14ac:dyDescent="0.3">
      <c r="B861" s="8"/>
      <c r="E861" s="8"/>
      <c r="G861" s="8"/>
    </row>
    <row r="862" spans="2:7" ht="14.25" customHeight="1" x14ac:dyDescent="0.3">
      <c r="B862" s="8"/>
      <c r="E862" s="8"/>
      <c r="G862" s="8"/>
    </row>
    <row r="863" spans="2:7" ht="14.25" customHeight="1" x14ac:dyDescent="0.3">
      <c r="B863" s="8"/>
      <c r="E863" s="8"/>
      <c r="G863" s="8"/>
    </row>
    <row r="864" spans="2:7" ht="14.25" customHeight="1" x14ac:dyDescent="0.3">
      <c r="B864" s="8"/>
      <c r="E864" s="8"/>
      <c r="G864" s="8"/>
    </row>
    <row r="865" spans="2:7" ht="14.25" customHeight="1" x14ac:dyDescent="0.3">
      <c r="B865" s="8"/>
      <c r="E865" s="8"/>
      <c r="G865" s="8"/>
    </row>
    <row r="866" spans="2:7" ht="14.25" customHeight="1" x14ac:dyDescent="0.3">
      <c r="B866" s="8"/>
      <c r="E866" s="8"/>
      <c r="G866" s="8"/>
    </row>
    <row r="867" spans="2:7" ht="14.25" customHeight="1" x14ac:dyDescent="0.3">
      <c r="B867" s="8"/>
      <c r="E867" s="8"/>
      <c r="G867" s="8"/>
    </row>
    <row r="868" spans="2:7" ht="14.25" customHeight="1" x14ac:dyDescent="0.3">
      <c r="B868" s="8"/>
      <c r="E868" s="8"/>
      <c r="G868" s="8"/>
    </row>
    <row r="869" spans="2:7" ht="14.25" customHeight="1" x14ac:dyDescent="0.3">
      <c r="B869" s="8"/>
      <c r="E869" s="8"/>
      <c r="G869" s="8"/>
    </row>
    <row r="870" spans="2:7" ht="14.25" customHeight="1" x14ac:dyDescent="0.3">
      <c r="B870" s="8"/>
      <c r="E870" s="8"/>
      <c r="G870" s="8"/>
    </row>
    <row r="871" spans="2:7" ht="14.25" customHeight="1" x14ac:dyDescent="0.3">
      <c r="B871" s="8"/>
      <c r="E871" s="8"/>
      <c r="G871" s="8"/>
    </row>
    <row r="872" spans="2:7" ht="14.25" customHeight="1" x14ac:dyDescent="0.3">
      <c r="B872" s="8"/>
      <c r="E872" s="8"/>
      <c r="G872" s="8"/>
    </row>
    <row r="873" spans="2:7" ht="14.25" customHeight="1" x14ac:dyDescent="0.3">
      <c r="B873" s="8"/>
      <c r="E873" s="8"/>
      <c r="G873" s="8"/>
    </row>
    <row r="874" spans="2:7" ht="14.25" customHeight="1" x14ac:dyDescent="0.3">
      <c r="B874" s="8"/>
      <c r="E874" s="8"/>
      <c r="G874" s="8"/>
    </row>
    <row r="875" spans="2:7" ht="14.25" customHeight="1" x14ac:dyDescent="0.3">
      <c r="B875" s="8"/>
      <c r="E875" s="8"/>
      <c r="G875" s="8"/>
    </row>
    <row r="876" spans="2:7" ht="14.25" customHeight="1" x14ac:dyDescent="0.3">
      <c r="B876" s="8"/>
      <c r="E876" s="8"/>
      <c r="G876" s="8"/>
    </row>
    <row r="877" spans="2:7" ht="14.25" customHeight="1" x14ac:dyDescent="0.3">
      <c r="B877" s="8"/>
      <c r="E877" s="8"/>
      <c r="G877" s="8"/>
    </row>
    <row r="878" spans="2:7" ht="14.25" customHeight="1" x14ac:dyDescent="0.3">
      <c r="B878" s="8"/>
      <c r="E878" s="8"/>
      <c r="G878" s="8"/>
    </row>
    <row r="879" spans="2:7" ht="14.25" customHeight="1" x14ac:dyDescent="0.3">
      <c r="B879" s="8"/>
      <c r="E879" s="8"/>
      <c r="G879" s="8"/>
    </row>
    <row r="880" spans="2:7" ht="14.25" customHeight="1" x14ac:dyDescent="0.3">
      <c r="B880" s="8"/>
      <c r="E880" s="8"/>
      <c r="G880" s="8"/>
    </row>
    <row r="881" spans="2:7" ht="14.25" customHeight="1" x14ac:dyDescent="0.3">
      <c r="B881" s="8"/>
      <c r="E881" s="8"/>
      <c r="G881" s="8"/>
    </row>
    <row r="882" spans="2:7" ht="14.25" customHeight="1" x14ac:dyDescent="0.3">
      <c r="B882" s="8"/>
      <c r="E882" s="8"/>
      <c r="G882" s="8"/>
    </row>
    <row r="883" spans="2:7" ht="14.25" customHeight="1" x14ac:dyDescent="0.3">
      <c r="B883" s="8"/>
      <c r="E883" s="8"/>
      <c r="G883" s="8"/>
    </row>
    <row r="884" spans="2:7" ht="14.25" customHeight="1" x14ac:dyDescent="0.3">
      <c r="B884" s="8"/>
      <c r="E884" s="8"/>
      <c r="G884" s="8"/>
    </row>
    <row r="885" spans="2:7" ht="14.25" customHeight="1" x14ac:dyDescent="0.3">
      <c r="B885" s="8"/>
      <c r="E885" s="8"/>
      <c r="G885" s="8"/>
    </row>
    <row r="886" spans="2:7" ht="14.25" customHeight="1" x14ac:dyDescent="0.3">
      <c r="B886" s="8"/>
      <c r="E886" s="8"/>
      <c r="G886" s="8"/>
    </row>
    <row r="887" spans="2:7" ht="14.25" customHeight="1" x14ac:dyDescent="0.3">
      <c r="B887" s="8"/>
      <c r="E887" s="8"/>
      <c r="G887" s="8"/>
    </row>
    <row r="888" spans="2:7" ht="14.25" customHeight="1" x14ac:dyDescent="0.3">
      <c r="B888" s="8"/>
      <c r="E888" s="8"/>
      <c r="G888" s="8"/>
    </row>
    <row r="889" spans="2:7" ht="14.25" customHeight="1" x14ac:dyDescent="0.3">
      <c r="B889" s="8"/>
      <c r="E889" s="8"/>
      <c r="G889" s="8"/>
    </row>
    <row r="890" spans="2:7" ht="14.25" customHeight="1" x14ac:dyDescent="0.3">
      <c r="B890" s="8"/>
      <c r="E890" s="8"/>
      <c r="G890" s="8"/>
    </row>
    <row r="891" spans="2:7" ht="14.25" customHeight="1" x14ac:dyDescent="0.3">
      <c r="B891" s="8"/>
      <c r="E891" s="8"/>
      <c r="G891" s="8"/>
    </row>
    <row r="892" spans="2:7" ht="14.25" customHeight="1" x14ac:dyDescent="0.3">
      <c r="B892" s="8"/>
      <c r="E892" s="8"/>
      <c r="G892" s="8"/>
    </row>
    <row r="893" spans="2:7" ht="14.25" customHeight="1" x14ac:dyDescent="0.3">
      <c r="B893" s="8"/>
      <c r="E893" s="8"/>
      <c r="G893" s="8"/>
    </row>
    <row r="894" spans="2:7" ht="14.25" customHeight="1" x14ac:dyDescent="0.3">
      <c r="B894" s="8"/>
      <c r="E894" s="8"/>
      <c r="G894" s="8"/>
    </row>
    <row r="895" spans="2:7" ht="14.25" customHeight="1" x14ac:dyDescent="0.3">
      <c r="B895" s="8"/>
      <c r="E895" s="8"/>
      <c r="G895" s="8"/>
    </row>
    <row r="896" spans="2:7" ht="14.25" customHeight="1" x14ac:dyDescent="0.3">
      <c r="B896" s="8"/>
      <c r="E896" s="8"/>
      <c r="G896" s="8"/>
    </row>
    <row r="897" spans="2:7" ht="14.25" customHeight="1" x14ac:dyDescent="0.3">
      <c r="B897" s="8"/>
      <c r="E897" s="8"/>
      <c r="G897" s="8"/>
    </row>
    <row r="898" spans="2:7" ht="14.25" customHeight="1" x14ac:dyDescent="0.3">
      <c r="B898" s="8"/>
      <c r="E898" s="8"/>
      <c r="G898" s="8"/>
    </row>
    <row r="899" spans="2:7" ht="14.25" customHeight="1" x14ac:dyDescent="0.3">
      <c r="B899" s="8"/>
      <c r="E899" s="8"/>
      <c r="G899" s="8"/>
    </row>
    <row r="900" spans="2:7" ht="14.25" customHeight="1" x14ac:dyDescent="0.3">
      <c r="B900" s="8"/>
      <c r="E900" s="8"/>
      <c r="G900" s="8"/>
    </row>
    <row r="901" spans="2:7" ht="14.25" customHeight="1" x14ac:dyDescent="0.3">
      <c r="B901" s="8"/>
      <c r="E901" s="8"/>
      <c r="G901" s="8"/>
    </row>
    <row r="902" spans="2:7" ht="14.25" customHeight="1" x14ac:dyDescent="0.3">
      <c r="B902" s="8"/>
      <c r="E902" s="8"/>
      <c r="G902" s="8"/>
    </row>
    <row r="903" spans="2:7" ht="14.25" customHeight="1" x14ac:dyDescent="0.3">
      <c r="B903" s="8"/>
      <c r="E903" s="8"/>
      <c r="G903" s="8"/>
    </row>
    <row r="904" spans="2:7" ht="14.25" customHeight="1" x14ac:dyDescent="0.3">
      <c r="B904" s="8"/>
      <c r="E904" s="8"/>
      <c r="G904" s="8"/>
    </row>
    <row r="905" spans="2:7" ht="14.25" customHeight="1" x14ac:dyDescent="0.3">
      <c r="B905" s="8"/>
      <c r="E905" s="8"/>
      <c r="G905" s="8"/>
    </row>
    <row r="906" spans="2:7" ht="14.25" customHeight="1" x14ac:dyDescent="0.3">
      <c r="B906" s="8"/>
      <c r="E906" s="8"/>
      <c r="G906" s="8"/>
    </row>
    <row r="907" spans="2:7" ht="14.25" customHeight="1" x14ac:dyDescent="0.3">
      <c r="B907" s="8"/>
      <c r="E907" s="8"/>
      <c r="G907" s="8"/>
    </row>
    <row r="908" spans="2:7" ht="14.25" customHeight="1" x14ac:dyDescent="0.3">
      <c r="B908" s="8"/>
      <c r="E908" s="8"/>
      <c r="G908" s="8"/>
    </row>
    <row r="909" spans="2:7" ht="14.25" customHeight="1" x14ac:dyDescent="0.3">
      <c r="B909" s="8"/>
      <c r="E909" s="8"/>
      <c r="G909" s="8"/>
    </row>
    <row r="910" spans="2:7" ht="14.25" customHeight="1" x14ac:dyDescent="0.3">
      <c r="B910" s="8"/>
      <c r="E910" s="8"/>
      <c r="G910" s="8"/>
    </row>
    <row r="911" spans="2:7" ht="14.25" customHeight="1" x14ac:dyDescent="0.3">
      <c r="B911" s="8"/>
      <c r="E911" s="8"/>
      <c r="G911" s="8"/>
    </row>
    <row r="912" spans="2:7" ht="14.25" customHeight="1" x14ac:dyDescent="0.3">
      <c r="B912" s="8"/>
      <c r="E912" s="8"/>
      <c r="G912" s="8"/>
    </row>
    <row r="913" spans="2:7" ht="14.25" customHeight="1" x14ac:dyDescent="0.3">
      <c r="B913" s="8"/>
      <c r="E913" s="8"/>
      <c r="G913" s="8"/>
    </row>
    <row r="914" spans="2:7" ht="14.25" customHeight="1" x14ac:dyDescent="0.3">
      <c r="B914" s="8"/>
      <c r="E914" s="8"/>
      <c r="G914" s="8"/>
    </row>
    <row r="915" spans="2:7" ht="14.25" customHeight="1" x14ac:dyDescent="0.3">
      <c r="B915" s="8"/>
      <c r="E915" s="8"/>
      <c r="G915" s="8"/>
    </row>
    <row r="916" spans="2:7" ht="14.25" customHeight="1" x14ac:dyDescent="0.3">
      <c r="B916" s="8"/>
      <c r="E916" s="8"/>
      <c r="G916" s="8"/>
    </row>
    <row r="917" spans="2:7" ht="14.25" customHeight="1" x14ac:dyDescent="0.3">
      <c r="B917" s="8"/>
      <c r="E917" s="8"/>
      <c r="G917" s="8"/>
    </row>
    <row r="918" spans="2:7" ht="14.25" customHeight="1" x14ac:dyDescent="0.3">
      <c r="B918" s="8"/>
      <c r="E918" s="8"/>
      <c r="G918" s="8"/>
    </row>
    <row r="919" spans="2:7" ht="14.25" customHeight="1" x14ac:dyDescent="0.3">
      <c r="B919" s="8"/>
      <c r="E919" s="8"/>
      <c r="G919" s="8"/>
    </row>
    <row r="920" spans="2:7" ht="14.25" customHeight="1" x14ac:dyDescent="0.3">
      <c r="B920" s="8"/>
      <c r="E920" s="8"/>
      <c r="G920" s="8"/>
    </row>
    <row r="921" spans="2:7" ht="14.25" customHeight="1" x14ac:dyDescent="0.3">
      <c r="B921" s="8"/>
      <c r="E921" s="8"/>
      <c r="G921" s="8"/>
    </row>
    <row r="922" spans="2:7" ht="14.25" customHeight="1" x14ac:dyDescent="0.3">
      <c r="B922" s="8"/>
      <c r="E922" s="8"/>
      <c r="G922" s="8"/>
    </row>
    <row r="923" spans="2:7" ht="14.25" customHeight="1" x14ac:dyDescent="0.3">
      <c r="B923" s="8"/>
      <c r="E923" s="8"/>
      <c r="G923" s="8"/>
    </row>
    <row r="924" spans="2:7" ht="14.25" customHeight="1" x14ac:dyDescent="0.3">
      <c r="B924" s="8"/>
      <c r="E924" s="8"/>
      <c r="G924" s="8"/>
    </row>
    <row r="925" spans="2:7" ht="14.25" customHeight="1" x14ac:dyDescent="0.3">
      <c r="B925" s="8"/>
      <c r="E925" s="8"/>
      <c r="G925" s="8"/>
    </row>
    <row r="926" spans="2:7" ht="14.25" customHeight="1" x14ac:dyDescent="0.3">
      <c r="B926" s="8"/>
      <c r="E926" s="8"/>
      <c r="G926" s="8"/>
    </row>
    <row r="927" spans="2:7" ht="14.25" customHeight="1" x14ac:dyDescent="0.3">
      <c r="B927" s="8"/>
      <c r="E927" s="8"/>
      <c r="G927" s="8"/>
    </row>
    <row r="928" spans="2:7" ht="14.25" customHeight="1" x14ac:dyDescent="0.3">
      <c r="B928" s="8"/>
      <c r="E928" s="8"/>
      <c r="G928" s="8"/>
    </row>
    <row r="929" spans="2:7" ht="14.25" customHeight="1" x14ac:dyDescent="0.3">
      <c r="B929" s="8"/>
      <c r="E929" s="8"/>
      <c r="G929" s="8"/>
    </row>
    <row r="930" spans="2:7" ht="14.25" customHeight="1" x14ac:dyDescent="0.3">
      <c r="B930" s="8"/>
      <c r="E930" s="8"/>
      <c r="G930" s="8"/>
    </row>
    <row r="931" spans="2:7" ht="14.25" customHeight="1" x14ac:dyDescent="0.3">
      <c r="B931" s="8"/>
      <c r="E931" s="8"/>
      <c r="G931" s="8"/>
    </row>
    <row r="932" spans="2:7" ht="14.25" customHeight="1" x14ac:dyDescent="0.3">
      <c r="B932" s="8"/>
      <c r="E932" s="8"/>
      <c r="G932" s="8"/>
    </row>
    <row r="933" spans="2:7" ht="14.25" customHeight="1" x14ac:dyDescent="0.3">
      <c r="B933" s="8"/>
      <c r="E933" s="8"/>
      <c r="G933" s="8"/>
    </row>
    <row r="934" spans="2:7" ht="14.25" customHeight="1" x14ac:dyDescent="0.3">
      <c r="B934" s="8"/>
      <c r="E934" s="8"/>
      <c r="G934" s="8"/>
    </row>
    <row r="935" spans="2:7" ht="14.25" customHeight="1" x14ac:dyDescent="0.3">
      <c r="B935" s="8"/>
      <c r="E935" s="8"/>
      <c r="G935" s="8"/>
    </row>
    <row r="936" spans="2:7" ht="14.25" customHeight="1" x14ac:dyDescent="0.3">
      <c r="B936" s="8"/>
      <c r="E936" s="8"/>
      <c r="G936" s="8"/>
    </row>
    <row r="937" spans="2:7" ht="14.25" customHeight="1" x14ac:dyDescent="0.3">
      <c r="B937" s="8"/>
      <c r="E937" s="8"/>
      <c r="G937" s="8"/>
    </row>
    <row r="938" spans="2:7" ht="14.25" customHeight="1" x14ac:dyDescent="0.3">
      <c r="B938" s="8"/>
      <c r="E938" s="8"/>
      <c r="G938" s="8"/>
    </row>
    <row r="939" spans="2:7" ht="14.25" customHeight="1" x14ac:dyDescent="0.3">
      <c r="B939" s="8"/>
      <c r="E939" s="8"/>
      <c r="G939" s="8"/>
    </row>
    <row r="940" spans="2:7" ht="14.25" customHeight="1" x14ac:dyDescent="0.3">
      <c r="B940" s="8"/>
      <c r="E940" s="8"/>
      <c r="G940" s="8"/>
    </row>
    <row r="941" spans="2:7" ht="14.25" customHeight="1" x14ac:dyDescent="0.3">
      <c r="B941" s="8"/>
      <c r="E941" s="8"/>
      <c r="G941" s="8"/>
    </row>
    <row r="942" spans="2:7" ht="14.25" customHeight="1" x14ac:dyDescent="0.3">
      <c r="B942" s="8"/>
      <c r="E942" s="8"/>
      <c r="G942" s="8"/>
    </row>
    <row r="943" spans="2:7" ht="14.25" customHeight="1" x14ac:dyDescent="0.3">
      <c r="B943" s="8"/>
      <c r="E943" s="8"/>
      <c r="G943" s="8"/>
    </row>
    <row r="944" spans="2:7" ht="14.25" customHeight="1" x14ac:dyDescent="0.3">
      <c r="B944" s="8"/>
      <c r="E944" s="8"/>
      <c r="G944" s="8"/>
    </row>
    <row r="945" spans="2:7" ht="14.25" customHeight="1" x14ac:dyDescent="0.3">
      <c r="B945" s="8"/>
      <c r="E945" s="8"/>
      <c r="G945" s="8"/>
    </row>
    <row r="946" spans="2:7" ht="14.25" customHeight="1" x14ac:dyDescent="0.3">
      <c r="B946" s="8"/>
      <c r="E946" s="8"/>
      <c r="G946" s="8"/>
    </row>
    <row r="947" spans="2:7" ht="14.25" customHeight="1" x14ac:dyDescent="0.3">
      <c r="B947" s="8"/>
      <c r="E947" s="8"/>
      <c r="G947" s="8"/>
    </row>
    <row r="948" spans="2:7" ht="14.25" customHeight="1" x14ac:dyDescent="0.3">
      <c r="B948" s="8"/>
      <c r="E948" s="8"/>
      <c r="G948" s="8"/>
    </row>
    <row r="949" spans="2:7" ht="14.25" customHeight="1" x14ac:dyDescent="0.3">
      <c r="B949" s="8"/>
      <c r="E949" s="8"/>
      <c r="G949" s="8"/>
    </row>
    <row r="950" spans="2:7" ht="14.25" customHeight="1" x14ac:dyDescent="0.3">
      <c r="B950" s="8"/>
      <c r="E950" s="8"/>
      <c r="G950" s="8"/>
    </row>
    <row r="951" spans="2:7" ht="14.25" customHeight="1" x14ac:dyDescent="0.3">
      <c r="B951" s="8"/>
      <c r="E951" s="8"/>
      <c r="G951" s="8"/>
    </row>
    <row r="952" spans="2:7" ht="14.25" customHeight="1" x14ac:dyDescent="0.3">
      <c r="B952" s="8"/>
      <c r="E952" s="8"/>
      <c r="G952" s="8"/>
    </row>
    <row r="953" spans="2:7" ht="14.25" customHeight="1" x14ac:dyDescent="0.3">
      <c r="B953" s="8"/>
      <c r="E953" s="8"/>
      <c r="G953" s="8"/>
    </row>
    <row r="954" spans="2:7" ht="14.25" customHeight="1" x14ac:dyDescent="0.3">
      <c r="B954" s="8"/>
      <c r="E954" s="8"/>
      <c r="G954" s="8"/>
    </row>
    <row r="955" spans="2:7" ht="14.25" customHeight="1" x14ac:dyDescent="0.3">
      <c r="B955" s="8"/>
      <c r="E955" s="8"/>
      <c r="G955" s="8"/>
    </row>
    <row r="956" spans="2:7" ht="14.25" customHeight="1" x14ac:dyDescent="0.3">
      <c r="B956" s="8"/>
      <c r="E956" s="8"/>
      <c r="G956" s="8"/>
    </row>
    <row r="957" spans="2:7" ht="14.25" customHeight="1" x14ac:dyDescent="0.3">
      <c r="B957" s="8"/>
      <c r="E957" s="8"/>
      <c r="G957" s="8"/>
    </row>
    <row r="958" spans="2:7" ht="14.25" customHeight="1" x14ac:dyDescent="0.3">
      <c r="B958" s="8"/>
      <c r="E958" s="8"/>
      <c r="G958" s="8"/>
    </row>
    <row r="959" spans="2:7" ht="14.25" customHeight="1" x14ac:dyDescent="0.3">
      <c r="B959" s="8"/>
      <c r="E959" s="8"/>
      <c r="G959" s="8"/>
    </row>
    <row r="960" spans="2:7" ht="14.25" customHeight="1" x14ac:dyDescent="0.3">
      <c r="B960" s="8"/>
      <c r="E960" s="8"/>
      <c r="G960" s="8"/>
    </row>
    <row r="961" spans="2:7" ht="14.25" customHeight="1" x14ac:dyDescent="0.3">
      <c r="B961" s="8"/>
      <c r="E961" s="8"/>
      <c r="G961" s="8"/>
    </row>
    <row r="962" spans="2:7" ht="14.25" customHeight="1" x14ac:dyDescent="0.3">
      <c r="B962" s="8"/>
      <c r="E962" s="8"/>
      <c r="G962" s="8"/>
    </row>
    <row r="963" spans="2:7" ht="14.25" customHeight="1" x14ac:dyDescent="0.3">
      <c r="B963" s="8"/>
      <c r="E963" s="8"/>
      <c r="G963" s="8"/>
    </row>
    <row r="964" spans="2:7" ht="14.25" customHeight="1" x14ac:dyDescent="0.3">
      <c r="B964" s="8"/>
      <c r="E964" s="8"/>
      <c r="G964" s="8"/>
    </row>
    <row r="965" spans="2:7" ht="14.25" customHeight="1" x14ac:dyDescent="0.3">
      <c r="B965" s="8"/>
      <c r="E965" s="8"/>
      <c r="G965" s="8"/>
    </row>
    <row r="966" spans="2:7" ht="14.25" customHeight="1" x14ac:dyDescent="0.3">
      <c r="B966" s="8"/>
      <c r="E966" s="8"/>
      <c r="G966" s="8"/>
    </row>
    <row r="967" spans="2:7" ht="14.25" customHeight="1" x14ac:dyDescent="0.3">
      <c r="B967" s="8"/>
      <c r="E967" s="8"/>
      <c r="G967" s="8"/>
    </row>
    <row r="968" spans="2:7" ht="14.25" customHeight="1" x14ac:dyDescent="0.3">
      <c r="B968" s="8"/>
      <c r="E968" s="8"/>
      <c r="G968" s="8"/>
    </row>
    <row r="969" spans="2:7" ht="14.25" customHeight="1" x14ac:dyDescent="0.3">
      <c r="B969" s="8"/>
      <c r="E969" s="8"/>
      <c r="G969" s="8"/>
    </row>
    <row r="970" spans="2:7" ht="14.25" customHeight="1" x14ac:dyDescent="0.3">
      <c r="B970" s="8"/>
      <c r="E970" s="8"/>
      <c r="G970" s="8"/>
    </row>
    <row r="971" spans="2:7" ht="14.25" customHeight="1" x14ac:dyDescent="0.3">
      <c r="B971" s="8"/>
      <c r="E971" s="8"/>
      <c r="G971" s="8"/>
    </row>
    <row r="972" spans="2:7" ht="14.25" customHeight="1" x14ac:dyDescent="0.3">
      <c r="B972" s="8"/>
      <c r="E972" s="8"/>
      <c r="G972" s="8"/>
    </row>
    <row r="973" spans="2:7" ht="14.25" customHeight="1" x14ac:dyDescent="0.3">
      <c r="B973" s="8"/>
      <c r="E973" s="8"/>
      <c r="G973" s="8"/>
    </row>
    <row r="974" spans="2:7" ht="14.25" customHeight="1" x14ac:dyDescent="0.3">
      <c r="B974" s="8"/>
      <c r="E974" s="8"/>
      <c r="G974" s="8"/>
    </row>
    <row r="975" spans="2:7" ht="14.25" customHeight="1" x14ac:dyDescent="0.3">
      <c r="B975" s="8"/>
      <c r="E975" s="8"/>
      <c r="G975" s="8"/>
    </row>
    <row r="976" spans="2:7" ht="14.25" customHeight="1" x14ac:dyDescent="0.3">
      <c r="B976" s="8"/>
      <c r="E976" s="8"/>
      <c r="G976" s="8"/>
    </row>
    <row r="977" spans="2:7" ht="14.25" customHeight="1" x14ac:dyDescent="0.3">
      <c r="B977" s="8"/>
      <c r="E977" s="8"/>
      <c r="G977" s="8"/>
    </row>
    <row r="978" spans="2:7" ht="14.25" customHeight="1" x14ac:dyDescent="0.3">
      <c r="B978" s="8"/>
      <c r="E978" s="8"/>
      <c r="G978" s="8"/>
    </row>
    <row r="979" spans="2:7" ht="14.25" customHeight="1" x14ac:dyDescent="0.3">
      <c r="B979" s="8"/>
      <c r="E979" s="8"/>
      <c r="G979" s="8"/>
    </row>
    <row r="980" spans="2:7" ht="14.25" customHeight="1" x14ac:dyDescent="0.3">
      <c r="B980" s="8"/>
      <c r="E980" s="8"/>
      <c r="G980" s="8"/>
    </row>
    <row r="981" spans="2:7" ht="14.25" customHeight="1" x14ac:dyDescent="0.3">
      <c r="B981" s="8"/>
      <c r="E981" s="8"/>
      <c r="G981" s="8"/>
    </row>
    <row r="982" spans="2:7" ht="14.25" customHeight="1" x14ac:dyDescent="0.3">
      <c r="B982" s="8"/>
      <c r="E982" s="8"/>
      <c r="G982" s="8"/>
    </row>
    <row r="983" spans="2:7" ht="14.25" customHeight="1" x14ac:dyDescent="0.3">
      <c r="B983" s="8"/>
      <c r="E983" s="8"/>
      <c r="G983" s="8"/>
    </row>
    <row r="984" spans="2:7" ht="14.25" customHeight="1" x14ac:dyDescent="0.3">
      <c r="B984" s="8"/>
      <c r="E984" s="8"/>
      <c r="G984" s="8"/>
    </row>
    <row r="985" spans="2:7" ht="14.25" customHeight="1" x14ac:dyDescent="0.3">
      <c r="B985" s="8"/>
      <c r="E985" s="8"/>
      <c r="G985" s="8"/>
    </row>
    <row r="986" spans="2:7" ht="14.25" customHeight="1" x14ac:dyDescent="0.3">
      <c r="B986" s="8"/>
      <c r="E986" s="8"/>
      <c r="G986" s="8"/>
    </row>
    <row r="987" spans="2:7" ht="14.25" customHeight="1" x14ac:dyDescent="0.3">
      <c r="B987" s="8"/>
      <c r="E987" s="8"/>
      <c r="G987" s="8"/>
    </row>
    <row r="988" spans="2:7" ht="14.25" customHeight="1" x14ac:dyDescent="0.3">
      <c r="B988" s="8"/>
      <c r="E988" s="8"/>
      <c r="G988" s="8"/>
    </row>
    <row r="989" spans="2:7" ht="14.25" customHeight="1" x14ac:dyDescent="0.3">
      <c r="B989" s="8"/>
      <c r="E989" s="8"/>
      <c r="G989" s="8"/>
    </row>
    <row r="990" spans="2:7" ht="14.25" customHeight="1" x14ac:dyDescent="0.3">
      <c r="B990" s="8"/>
      <c r="E990" s="8"/>
      <c r="G990" s="8"/>
    </row>
    <row r="991" spans="2:7" ht="14.25" customHeight="1" x14ac:dyDescent="0.3">
      <c r="B991" s="8"/>
      <c r="E991" s="8"/>
      <c r="G991" s="8"/>
    </row>
    <row r="992" spans="2:7" ht="14.25" customHeight="1" x14ac:dyDescent="0.3">
      <c r="B992" s="8"/>
      <c r="E992" s="8"/>
      <c r="G992" s="8"/>
    </row>
    <row r="993" spans="2:7" ht="14.25" customHeight="1" x14ac:dyDescent="0.3">
      <c r="B993" s="8"/>
      <c r="E993" s="8"/>
      <c r="G993" s="8"/>
    </row>
    <row r="994" spans="2:7" ht="14.25" customHeight="1" x14ac:dyDescent="0.3">
      <c r="B994" s="8"/>
      <c r="E994" s="8"/>
      <c r="G994" s="8"/>
    </row>
    <row r="995" spans="2:7" ht="14.25" customHeight="1" x14ac:dyDescent="0.3">
      <c r="B995" s="8"/>
      <c r="E995" s="8"/>
      <c r="G995" s="8"/>
    </row>
    <row r="996" spans="2:7" ht="14.25" customHeight="1" x14ac:dyDescent="0.3">
      <c r="B996" s="8"/>
      <c r="E996" s="8"/>
      <c r="G996" s="8"/>
    </row>
    <row r="997" spans="2:7" ht="14.25" customHeight="1" x14ac:dyDescent="0.3">
      <c r="B997" s="8"/>
      <c r="E997" s="8"/>
      <c r="G997" s="8"/>
    </row>
    <row r="998" spans="2:7" ht="14.25" customHeight="1" x14ac:dyDescent="0.3">
      <c r="B998" s="8"/>
      <c r="E998" s="8"/>
      <c r="G998" s="8"/>
    </row>
    <row r="999" spans="2:7" ht="14.25" customHeight="1" x14ac:dyDescent="0.3">
      <c r="B999" s="8"/>
      <c r="E999" s="8"/>
      <c r="G999" s="8"/>
    </row>
    <row r="1000" spans="2:7" ht="14.25" customHeight="1" x14ac:dyDescent="0.3">
      <c r="B1000" s="8"/>
      <c r="E1000" s="8"/>
      <c r="G1000" s="8"/>
    </row>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396189-C743-4280-800A-18C90BA15F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 1 &amp; 2 </vt:lpstr>
      <vt:lpstr>Task 3</vt:lpstr>
      <vt:lpstr>Task 4</vt:lpstr>
      <vt:lpstr>Task 5</vt:lpstr>
      <vt:lpstr>Task 6</vt:lpstr>
      <vt:lpstr>ExplainationLink</vt:lpstr>
      <vt:lpstr>Posts</vt:lpstr>
      <vt:lpstr>Engagement Summary</vt:lpstr>
      <vt:lpstr>Campaign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Katula</dc:creator>
  <cp:lastModifiedBy>Mahesh Katula</cp:lastModifiedBy>
  <dcterms:created xsi:type="dcterms:W3CDTF">2025-05-26T02:16:03Z</dcterms:created>
  <dcterms:modified xsi:type="dcterms:W3CDTF">2025-09-20T13:59:07Z</dcterms:modified>
</cp:coreProperties>
</file>